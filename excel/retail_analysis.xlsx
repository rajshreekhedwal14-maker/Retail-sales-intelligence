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04" tabRatio="935" firstSheet="1" activeTab="9"/>
  </bookViews>
  <sheets>
    <sheet name="raw_monthly_revenue" sheetId="1" r:id="rId1"/>
    <sheet name=" Monthly Revenue" sheetId="2" r:id="rId2"/>
    <sheet name=" raw_country_revenue" sheetId="3" r:id="rId3"/>
    <sheet name=" Country Revenue" sheetId="5" r:id="rId4"/>
    <sheet name="raw_top_customers" sheetId="6" r:id="rId5"/>
    <sheet name="Top Customers" sheetId="20" r:id="rId6"/>
    <sheet name="raw_repeat_rate" sheetId="25" r:id="rId7"/>
    <sheet name="raw_clv" sheetId="26" r:id="rId8"/>
    <sheet name="raw_inventory" sheetId="27" r:id="rId9"/>
    <sheet name="raw_stockout" sheetId="23" r:id="rId10"/>
    <sheet name="Inventory Status" sheetId="24" r:id="rId11"/>
    <sheet name="KPI DASHBOARD" sheetId="28" r:id="rId12"/>
  </sheets>
  <definedNames>
    <definedName name="_01_monthly_revenue" localSheetId="0">raw_monthly_revenue!$A$1:$C$5</definedName>
    <definedName name="_02_revenue_by_country.cvs" localSheetId="2">' raw_country_revenue'!$A$1:$F$4</definedName>
    <definedName name="_03_top_customers" localSheetId="4">raw_top_customers!$A$1:$I$6</definedName>
    <definedName name="_04_repeat_purchase_rate" localSheetId="6">raw_repeat_rate!$A$1:$E$2</definedName>
    <definedName name="_05_customer_lifetime_value" localSheetId="7">raw_clv!$A$1:$K$6</definedName>
    <definedName name="_06_inventory_turnover" localSheetId="8">raw_inventory!$A$1:$H$8</definedName>
    <definedName name="_07_stockout_detection" localSheetId="9">raw_stockout!$A$1:$J$11</definedName>
  </definedNames>
  <calcPr calcId="162913"/>
  <pivotCaches>
    <pivotCache cacheId="0" r:id="rId13"/>
    <pivotCache cacheId="1" r:id="rId14"/>
    <pivotCache cacheId="10" r:id="rId15"/>
    <pivotCache cacheId="19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8" l="1"/>
  <c r="B8" i="28"/>
  <c r="B5" i="28"/>
  <c r="B4" i="28"/>
</calcChain>
</file>

<file path=xl/connections.xml><?xml version="1.0" encoding="utf-8"?>
<connections xmlns="http://schemas.openxmlformats.org/spreadsheetml/2006/main">
  <connection id="1" name="01_monthly_revenue" type="6" refreshedVersion="6" background="1" saveData="1">
    <textPr codePage="437" sourceFile="C:\Users\asus\Desktop\sql\01_monthly_revenue.csv" comma="1" qualifier="none">
      <textFields count="3">
        <textField type="DMY"/>
        <textField/>
        <textField/>
      </textFields>
    </textPr>
  </connection>
  <connection id="2" name="02_revenue_by_country.cvs" type="6" refreshedVersion="6" background="1" saveData="1">
    <textPr codePage="437" sourceFile="C:\Users\asus\Desktop\sql\02_revenue_by_country.cvs.csv" comma="1" qualifier="none">
      <textFields count="6">
        <textField/>
        <textField/>
        <textField/>
        <textField/>
        <textField/>
        <textField/>
      </textFields>
    </textPr>
  </connection>
  <connection id="3" name="03_top_customers" type="6" refreshedVersion="6" background="1" saveData="1">
    <textPr sourceFile="C:\Users\asus\Desktop\sql\03_top_customers.csv" comma="1" qualifier="none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04_repeat_purchase_rate" type="6" refreshedVersion="6" background="1" saveData="1">
    <textPr codePage="437" sourceFile="C:\Users\asus\Desktop\sql\04_repeat_purchase_rate.csv" comma="1">
      <textFields count="5">
        <textField/>
        <textField/>
        <textField/>
        <textField/>
        <textField/>
      </textFields>
    </textPr>
  </connection>
  <connection id="5" name="05_customer_lifetime_value" type="6" refreshedVersion="6" background="1" saveData="1">
    <textPr codePage="65001" sourceFile="C:\Users\asus\Desktop\sql\05_customer_lifetime_value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06_inventory_turnover" type="6" refreshedVersion="6" background="1" saveData="1">
    <textPr codePage="437" sourceFile="C:\Users\asus\Desktop\sql\06_inventory_turnover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7" name="07_stockout_detection" type="6" refreshedVersion="6" background="1" saveData="1">
    <textPr codePage="437" sourceFile="C:\Users\asus\Desktop\sql\07_stockout_detection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<sst xmlns="http://schemas.openxmlformats.org/spreadsheetml/2006/main" count="201" uniqueCount="99">
  <si>
    <t>revenue_month</t>
  </si>
  <si>
    <t>total_orders</t>
  </si>
  <si>
    <t>gross_revenue</t>
  </si>
  <si>
    <t>Grand Total</t>
  </si>
  <si>
    <t>1-Jan</t>
  </si>
  <si>
    <t>1-Feb</t>
  </si>
  <si>
    <t>1-Mar</t>
  </si>
  <si>
    <t>1-Apr</t>
  </si>
  <si>
    <t>GROSS REVENUE</t>
  </si>
  <si>
    <t>TOTAL ORDERS</t>
  </si>
  <si>
    <t>REVENUE MONTHS</t>
  </si>
  <si>
    <t>shipping_country</t>
  </si>
  <si>
    <t>customer_count</t>
  </si>
  <si>
    <t>order_count</t>
  </si>
  <si>
    <t>total_revenue</t>
  </si>
  <si>
    <t>avg_order_value</t>
  </si>
  <si>
    <t>revenue_share_pct</t>
  </si>
  <si>
    <t>Germany</t>
  </si>
  <si>
    <t>Austria</t>
  </si>
  <si>
    <t>France</t>
  </si>
  <si>
    <t>SHIPPING COUNTRY</t>
  </si>
  <si>
    <t>TOTAL REVENUE</t>
  </si>
  <si>
    <t>REVENUE SHARE PCT</t>
  </si>
  <si>
    <t>CUSTOMER COUNT</t>
  </si>
  <si>
    <t>customer_id</t>
  </si>
  <si>
    <t>customer_name</t>
  </si>
  <si>
    <t>segment</t>
  </si>
  <si>
    <t>country</t>
  </si>
  <si>
    <t>revenue_rank</t>
  </si>
  <si>
    <t>cumulative_revenue_pct</t>
  </si>
  <si>
    <t>customer_tier</t>
  </si>
  <si>
    <t>Thomas Schmidt</t>
  </si>
  <si>
    <t>VIP</t>
  </si>
  <si>
    <t>Top 20%</t>
  </si>
  <si>
    <t>Premium</t>
  </si>
  <si>
    <t>Next 20%</t>
  </si>
  <si>
    <t>Maria Hofer</t>
  </si>
  <si>
    <t>Standard</t>
  </si>
  <si>
    <t>Sophie Dubois</t>
  </si>
  <si>
    <t>Lukas Wagner</t>
  </si>
  <si>
    <t>Anna Maxller</t>
  </si>
  <si>
    <t>CUSTOMER NAME</t>
  </si>
  <si>
    <t>CUSTOMER TIER</t>
  </si>
  <si>
    <t>product_id</t>
  </si>
  <si>
    <t>product_name</t>
  </si>
  <si>
    <t>current_stock</t>
  </si>
  <si>
    <t>total_units_sold</t>
  </si>
  <si>
    <t>cogs</t>
  </si>
  <si>
    <t>inventory_value</t>
  </si>
  <si>
    <t>inventory_turnover_ratio</t>
  </si>
  <si>
    <t>days_to_sell_stock</t>
  </si>
  <si>
    <t>Standing Desk Pro</t>
  </si>
  <si>
    <t>Women's Blazer</t>
  </si>
  <si>
    <t>ThinkPad X1 Carbon</t>
  </si>
  <si>
    <t>Samsung Galaxy S24</t>
  </si>
  <si>
    <t>Sony WH-1000XM5</t>
  </si>
  <si>
    <t>Men's Winter Jacket</t>
  </si>
  <si>
    <t>Coffee Maker Deluxe</t>
  </si>
  <si>
    <t>(All)</t>
  </si>
  <si>
    <t>store_name</t>
  </si>
  <si>
    <t>stock_quantity</t>
  </si>
  <si>
    <t>reorder_level</t>
  </si>
  <si>
    <t>last_updated</t>
  </si>
  <si>
    <t>stock_status</t>
  </si>
  <si>
    <t>stock_buffer</t>
  </si>
  <si>
    <t>estimated_days_until_stockout</t>
  </si>
  <si>
    <t>Munich Store</t>
  </si>
  <si>
    <t>STOCKOUT</t>
  </si>
  <si>
    <t>LOW STOCK - Reorder Now</t>
  </si>
  <si>
    <t>Berlin Central</t>
  </si>
  <si>
    <t>OK</t>
  </si>
  <si>
    <t>Paris Branch</t>
  </si>
  <si>
    <t>Watch - Stock Getting Low</t>
  </si>
  <si>
    <t>Vienna Flagship</t>
  </si>
  <si>
    <t>PRODUCT NAME</t>
  </si>
  <si>
    <t>STORE NAME</t>
  </si>
  <si>
    <t>STOCK QUANTITY</t>
  </si>
  <si>
    <t>STOCK BUFFER</t>
  </si>
  <si>
    <t>STOCK STATUS</t>
  </si>
  <si>
    <t>total_customers</t>
  </si>
  <si>
    <t>one_time_buyers</t>
  </si>
  <si>
    <t>repeat_buyers</t>
  </si>
  <si>
    <t>repeat_purchase_rate_pct</t>
  </si>
  <si>
    <t>avg_orders_per_customer</t>
  </si>
  <si>
    <t>first_order_date</t>
  </si>
  <si>
    <t>last_order_date</t>
  </si>
  <si>
    <t>lifespan_days</t>
  </si>
  <si>
    <t>orders_per_month</t>
  </si>
  <si>
    <t>annualized_clv</t>
  </si>
  <si>
    <t>Anna Müller</t>
  </si>
  <si>
    <t>null</t>
  </si>
  <si>
    <t>RETAIL SALES &amp; CUSTOMER INTELLIGENCE</t>
  </si>
  <si>
    <t>Executive KPI Dashboard — 2024</t>
  </si>
  <si>
    <t>Total Revenue</t>
  </si>
  <si>
    <t>Total Orders</t>
  </si>
  <si>
    <t>Repeat Purchase Rate</t>
  </si>
  <si>
    <t>Top Country</t>
  </si>
  <si>
    <t>Products at Stockout Risk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</si>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</sst>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€-C07]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dashDotDot">
        <color indexed="64"/>
      </left>
      <right/>
      <top style="dashDotDot">
        <color indexed="64"/>
      </top>
      <bottom/>
      <diagonal/>
    </border>
    <border>
      <left/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 style="dashDotDot">
        <color indexed="64"/>
      </bottom>
      <diagonal/>
    </border>
    <border>
      <left/>
      <right style="dashDotDot">
        <color indexed="64"/>
      </right>
      <top/>
      <bottom style="dashDotDot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47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3" fillId="2" borderId="3" xfId="0" applyFont="1" applyFill="1" applyBorder="1"/>
    <xf numFmtId="0" fontId="3" fillId="2" borderId="5" xfId="0" applyFont="1" applyFill="1" applyBorder="1"/>
    <xf numFmtId="0" fontId="2" fillId="3" borderId="4" xfId="0" applyFont="1" applyFill="1" applyBorder="1"/>
    <xf numFmtId="9" fontId="2" fillId="3" borderId="4" xfId="0" applyNumberFormat="1" applyFont="1" applyFill="1" applyBorder="1"/>
    <xf numFmtId="0" fontId="2" fillId="3" borderId="6" xfId="0" applyFont="1" applyFill="1" applyBorder="1"/>
    <xf numFmtId="0" fontId="4" fillId="0" borderId="1" xfId="0" applyFont="1" applyBorder="1"/>
    <xf numFmtId="0" fontId="1" fillId="0" borderId="2" xfId="0" applyFont="1" applyBorder="1"/>
    <xf numFmtId="0" fontId="4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5" formatCode="[$€-C07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 Monthly Revenue!PivotTable1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Monthly Revenue'!$B$3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 Monthly Revenue'!$A$4:$A$8</c:f>
              <c:strCache>
                <c:ptCount val="4"/>
                <c:pt idx="0">
                  <c:v>1-Jan</c:v>
                </c:pt>
                <c:pt idx="1">
                  <c:v>1-Feb</c:v>
                </c:pt>
                <c:pt idx="2">
                  <c:v>1-Mar</c:v>
                </c:pt>
                <c:pt idx="3">
                  <c:v>1-Apr</c:v>
                </c:pt>
              </c:strCache>
            </c:strRef>
          </c:cat>
          <c:val>
            <c:numRef>
              <c:f>' Monthly Revenue'!$B$4:$B$8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C-46E0-B22C-592DAF3BAF97}"/>
            </c:ext>
          </c:extLst>
        </c:ser>
        <c:ser>
          <c:idx val="1"/>
          <c:order val="1"/>
          <c:tx>
            <c:strRef>
              <c:f>' Monthly Revenue'!$C$3</c:f>
              <c:strCache>
                <c:ptCount val="1"/>
                <c:pt idx="0">
                  <c:v>GROSS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Monthly Revenue'!$A$4:$A$8</c:f>
              <c:strCache>
                <c:ptCount val="4"/>
                <c:pt idx="0">
                  <c:v>1-Jan</c:v>
                </c:pt>
                <c:pt idx="1">
                  <c:v>1-Feb</c:v>
                </c:pt>
                <c:pt idx="2">
                  <c:v>1-Mar</c:v>
                </c:pt>
                <c:pt idx="3">
                  <c:v>1-Apr</c:v>
                </c:pt>
              </c:strCache>
            </c:strRef>
          </c:cat>
          <c:val>
            <c:numRef>
              <c:f>' Monthly Revenue'!$C$4:$C$8</c:f>
              <c:numCache>
                <c:formatCode>[$€-C07]\ #,##0.00</c:formatCode>
                <c:ptCount val="4"/>
                <c:pt idx="0">
                  <c:v>2888.65</c:v>
                </c:pt>
                <c:pt idx="1">
                  <c:v>1056</c:v>
                </c:pt>
                <c:pt idx="2">
                  <c:v>899</c:v>
                </c:pt>
                <c:pt idx="3">
                  <c:v>1352.05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C-46E0-B22C-592DAF3BAF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428383"/>
        <c:axId val="108422975"/>
      </c:lineChart>
      <c:catAx>
        <c:axId val="1084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2975"/>
        <c:crosses val="autoZero"/>
        <c:auto val="1"/>
        <c:lblAlgn val="ctr"/>
        <c:lblOffset val="100"/>
        <c:noMultiLvlLbl val="0"/>
      </c:catAx>
      <c:valAx>
        <c:axId val="1084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 Country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 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Country Revenue'!$B$3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Revenue'!$B$4:$B$7</c:f>
              <c:numCache>
                <c:formatCode>General</c:formatCode>
                <c:ptCount val="3"/>
                <c:pt idx="0">
                  <c:v>5499.7</c:v>
                </c:pt>
                <c:pt idx="1">
                  <c:v>438</c:v>
                </c:pt>
                <c:pt idx="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0-4951-8514-B7BBF8B6E6D4}"/>
            </c:ext>
          </c:extLst>
        </c:ser>
        <c:ser>
          <c:idx val="1"/>
          <c:order val="1"/>
          <c:tx>
            <c:strRef>
              <c:f>' Country Revenue'!$C$3</c:f>
              <c:strCache>
                <c:ptCount val="1"/>
                <c:pt idx="0">
                  <c:v>REVENUE SHARE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Revenue'!$C$4:$C$7</c:f>
              <c:numCache>
                <c:formatCode>General</c:formatCode>
                <c:ptCount val="3"/>
                <c:pt idx="0">
                  <c:v>88.8</c:v>
                </c:pt>
                <c:pt idx="1">
                  <c:v>7.1</c:v>
                </c:pt>
                <c:pt idx="2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A0-4951-8514-B7BBF8B6E6D4}"/>
            </c:ext>
          </c:extLst>
        </c:ser>
        <c:ser>
          <c:idx val="2"/>
          <c:order val="2"/>
          <c:tx>
            <c:strRef>
              <c:f>' Country Revenue'!$D$3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Revenue'!$D$4:$D$7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A0-4951-8514-B7BBF8B6E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2899728"/>
        <c:axId val="1562900560"/>
      </c:barChart>
      <c:catAx>
        <c:axId val="156289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900560"/>
        <c:crosses val="autoZero"/>
        <c:auto val="1"/>
        <c:lblAlgn val="ctr"/>
        <c:lblOffset val="100"/>
        <c:noMultiLvlLbl val="0"/>
      </c:catAx>
      <c:valAx>
        <c:axId val="156290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german.xlsx]Top Customers!PivotTable2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Revenue Ranking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Customers'!$A$4:$B$9</c:f>
              <c:multiLvlStrCache>
                <c:ptCount val="5"/>
                <c:lvl>
                  <c:pt idx="0">
                    <c:v>Next 20%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Standard</c:v>
                  </c:pt>
                  <c:pt idx="4">
                    <c:v>Top 20%</c:v>
                  </c:pt>
                </c:lvl>
                <c:lvl>
                  <c:pt idx="0">
                    <c:v>Anna Maxller</c:v>
                  </c:pt>
                  <c:pt idx="1">
                    <c:v>Lukas Wagner</c:v>
                  </c:pt>
                  <c:pt idx="2">
                    <c:v>Maria Hofer</c:v>
                  </c:pt>
                  <c:pt idx="3">
                    <c:v>Sophie Dubois</c:v>
                  </c:pt>
                  <c:pt idx="4">
                    <c:v>Thomas Schmidt</c:v>
                  </c:pt>
                </c:lvl>
              </c:multiLvlStrCache>
            </c:multiLvlStrRef>
          </c:cat>
          <c:val>
            <c:numRef>
              <c:f>'Top Customers'!$C$4:$C$9</c:f>
              <c:numCache>
                <c:formatCode>General</c:formatCode>
                <c:ptCount val="5"/>
                <c:pt idx="0">
                  <c:v>2529.5500000000002</c:v>
                </c:pt>
                <c:pt idx="1">
                  <c:v>149</c:v>
                </c:pt>
                <c:pt idx="2">
                  <c:v>438</c:v>
                </c:pt>
                <c:pt idx="3">
                  <c:v>258</c:v>
                </c:pt>
                <c:pt idx="4">
                  <c:v>2821.15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9-4CA8-A856-2DB3716FF07F}"/>
            </c:ext>
          </c:extLst>
        </c:ser>
        <c:ser>
          <c:idx val="1"/>
          <c:order val="1"/>
          <c:tx>
            <c:strRef>
              <c:f>'Top Customers'!$D$3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'Top Customers'!$A$4:$B$9</c:f>
              <c:multiLvlStrCache>
                <c:ptCount val="5"/>
                <c:lvl>
                  <c:pt idx="0">
                    <c:v>Next 20%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Standard</c:v>
                  </c:pt>
                  <c:pt idx="4">
                    <c:v>Top 20%</c:v>
                  </c:pt>
                </c:lvl>
                <c:lvl>
                  <c:pt idx="0">
                    <c:v>Anna Maxller</c:v>
                  </c:pt>
                  <c:pt idx="1">
                    <c:v>Lukas Wagner</c:v>
                  </c:pt>
                  <c:pt idx="2">
                    <c:v>Maria Hofer</c:v>
                  </c:pt>
                  <c:pt idx="3">
                    <c:v>Sophie Dubois</c:v>
                  </c:pt>
                  <c:pt idx="4">
                    <c:v>Thomas Schmidt</c:v>
                  </c:pt>
                </c:lvl>
              </c:multiLvlStrCache>
            </c:multiLvlStrRef>
          </c:cat>
          <c:val>
            <c:numRef>
              <c:f>'Top Customers'!$D$4:$D$9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9-4CA8-A856-2DB3716FF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701215"/>
        <c:axId val="1826703711"/>
      </c:barChart>
      <c:catAx>
        <c:axId val="18267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3711"/>
        <c:crosses val="autoZero"/>
        <c:auto val="1"/>
        <c:lblAlgn val="ctr"/>
        <c:lblOffset val="100"/>
        <c:noMultiLvlLbl val="0"/>
      </c:catAx>
      <c:valAx>
        <c:axId val="18267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german.xlsx]Inventory Status!PivotTable4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Inventory Stock Levels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Status'!$C$3</c:f>
              <c:strCache>
                <c:ptCount val="1"/>
                <c:pt idx="0">
                  <c:v>STOCK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'Inventory Status'!$A$4:$B$14</c:f>
              <c:multiLvlStrCache>
                <c:ptCount val="10"/>
                <c:lvl>
                  <c:pt idx="0">
                    <c:v>Vienna Flagship</c:v>
                  </c:pt>
                  <c:pt idx="1">
                    <c:v>Berlin Central</c:v>
                  </c:pt>
                  <c:pt idx="2">
                    <c:v>Berlin Central</c:v>
                  </c:pt>
                  <c:pt idx="3">
                    <c:v>Munich Store</c:v>
                  </c:pt>
                  <c:pt idx="4">
                    <c:v>Berlin Central</c:v>
                  </c:pt>
                  <c:pt idx="5">
                    <c:v>Berlin Central</c:v>
                  </c:pt>
                  <c:pt idx="6">
                    <c:v>Munich Store</c:v>
                  </c:pt>
                  <c:pt idx="7">
                    <c:v>Berlin Central</c:v>
                  </c:pt>
                  <c:pt idx="8">
                    <c:v>Munich Store</c:v>
                  </c:pt>
                  <c:pt idx="9">
                    <c:v>Paris Branch</c:v>
                  </c:pt>
                </c:lvl>
                <c:lvl>
                  <c:pt idx="0">
                    <c:v>Coffee Maker Deluxe</c:v>
                  </c:pt>
                  <c:pt idx="1">
                    <c:v>Men's Winter Jacket</c:v>
                  </c:pt>
                  <c:pt idx="2">
                    <c:v>Samsung Galaxy S24</c:v>
                  </c:pt>
                  <c:pt idx="4">
                    <c:v>Sony WH-1000XM5</c:v>
                  </c:pt>
                  <c:pt idx="5">
                    <c:v>Standing Desk Pro</c:v>
                  </c:pt>
                  <c:pt idx="7">
                    <c:v>ThinkPad X1 Carbon</c:v>
                  </c:pt>
                  <c:pt idx="9">
                    <c:v>Women's Blazer</c:v>
                  </c:pt>
                </c:lvl>
              </c:multiLvlStrCache>
            </c:multiLvlStrRef>
          </c:cat>
          <c:val>
            <c:numRef>
              <c:f>'Inventory Status'!$C$4:$C$14</c:f>
              <c:numCache>
                <c:formatCode>General</c:formatCode>
                <c:ptCount val="10"/>
                <c:pt idx="0">
                  <c:v>60</c:v>
                </c:pt>
                <c:pt idx="1">
                  <c:v>30</c:v>
                </c:pt>
                <c:pt idx="2">
                  <c:v>22</c:v>
                </c:pt>
                <c:pt idx="3">
                  <c:v>3</c:v>
                </c:pt>
                <c:pt idx="4">
                  <c:v>45</c:v>
                </c:pt>
                <c:pt idx="5">
                  <c:v>4</c:v>
                </c:pt>
                <c:pt idx="6">
                  <c:v>0</c:v>
                </c:pt>
                <c:pt idx="7">
                  <c:v>15</c:v>
                </c:pt>
                <c:pt idx="8">
                  <c:v>8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2-451D-9796-3A386823EE95}"/>
            </c:ext>
          </c:extLst>
        </c:ser>
        <c:ser>
          <c:idx val="1"/>
          <c:order val="1"/>
          <c:tx>
            <c:strRef>
              <c:f>'Inventory Status'!$D$3</c:f>
              <c:strCache>
                <c:ptCount val="1"/>
                <c:pt idx="0">
                  <c:v>STOCK BUFFER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'Inventory Status'!$A$4:$B$14</c:f>
              <c:multiLvlStrCache>
                <c:ptCount val="10"/>
                <c:lvl>
                  <c:pt idx="0">
                    <c:v>Vienna Flagship</c:v>
                  </c:pt>
                  <c:pt idx="1">
                    <c:v>Berlin Central</c:v>
                  </c:pt>
                  <c:pt idx="2">
                    <c:v>Berlin Central</c:v>
                  </c:pt>
                  <c:pt idx="3">
                    <c:v>Munich Store</c:v>
                  </c:pt>
                  <c:pt idx="4">
                    <c:v>Berlin Central</c:v>
                  </c:pt>
                  <c:pt idx="5">
                    <c:v>Berlin Central</c:v>
                  </c:pt>
                  <c:pt idx="6">
                    <c:v>Munich Store</c:v>
                  </c:pt>
                  <c:pt idx="7">
                    <c:v>Berlin Central</c:v>
                  </c:pt>
                  <c:pt idx="8">
                    <c:v>Munich Store</c:v>
                  </c:pt>
                  <c:pt idx="9">
                    <c:v>Paris Branch</c:v>
                  </c:pt>
                </c:lvl>
                <c:lvl>
                  <c:pt idx="0">
                    <c:v>Coffee Maker Deluxe</c:v>
                  </c:pt>
                  <c:pt idx="1">
                    <c:v>Men's Winter Jacket</c:v>
                  </c:pt>
                  <c:pt idx="2">
                    <c:v>Samsung Galaxy S24</c:v>
                  </c:pt>
                  <c:pt idx="4">
                    <c:v>Sony WH-1000XM5</c:v>
                  </c:pt>
                  <c:pt idx="5">
                    <c:v>Standing Desk Pro</c:v>
                  </c:pt>
                  <c:pt idx="7">
                    <c:v>ThinkPad X1 Carbon</c:v>
                  </c:pt>
                  <c:pt idx="9">
                    <c:v>Women's Blazer</c:v>
                  </c:pt>
                </c:lvl>
              </c:multiLvlStrCache>
            </c:multiLvlStrRef>
          </c:cat>
          <c:val>
            <c:numRef>
              <c:f>'Inventory Status'!$D$4:$D$14</c:f>
              <c:numCache>
                <c:formatCode>General</c:formatCode>
                <c:ptCount val="10"/>
                <c:pt idx="0">
                  <c:v>40</c:v>
                </c:pt>
                <c:pt idx="1">
                  <c:v>15</c:v>
                </c:pt>
                <c:pt idx="2">
                  <c:v>14</c:v>
                </c:pt>
                <c:pt idx="3">
                  <c:v>-5</c:v>
                </c:pt>
                <c:pt idx="4">
                  <c:v>35</c:v>
                </c:pt>
                <c:pt idx="5">
                  <c:v>-1</c:v>
                </c:pt>
                <c:pt idx="6">
                  <c:v>-5</c:v>
                </c:pt>
                <c:pt idx="7">
                  <c:v>10</c:v>
                </c:pt>
                <c:pt idx="8">
                  <c:v>3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2-451D-9796-3A386823E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57071"/>
        <c:axId val="2122053743"/>
      </c:barChart>
      <c:catAx>
        <c:axId val="21220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53743"/>
        <c:crosses val="autoZero"/>
        <c:auto val="1"/>
        <c:lblAlgn val="ctr"/>
        <c:lblOffset val="100"/>
        <c:noMultiLvlLbl val="0"/>
      </c:catAx>
      <c:valAx>
        <c:axId val="21220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 Monthly Revenue!PivotTable1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Monthly Revenue'!$B$3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 Monthly Revenue'!$A$4:$A$8</c:f>
              <c:strCache>
                <c:ptCount val="4"/>
                <c:pt idx="0">
                  <c:v>1-Jan</c:v>
                </c:pt>
                <c:pt idx="1">
                  <c:v>1-Feb</c:v>
                </c:pt>
                <c:pt idx="2">
                  <c:v>1-Mar</c:v>
                </c:pt>
                <c:pt idx="3">
                  <c:v>1-Apr</c:v>
                </c:pt>
              </c:strCache>
            </c:strRef>
          </c:cat>
          <c:val>
            <c:numRef>
              <c:f>' Monthly Revenue'!$B$4:$B$8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4F-44DF-A88A-BB51FA91920C}"/>
            </c:ext>
          </c:extLst>
        </c:ser>
        <c:ser>
          <c:idx val="1"/>
          <c:order val="1"/>
          <c:tx>
            <c:strRef>
              <c:f>' Monthly Revenue'!$C$3</c:f>
              <c:strCache>
                <c:ptCount val="1"/>
                <c:pt idx="0">
                  <c:v>GROSS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Monthly Revenue'!$A$4:$A$8</c:f>
              <c:strCache>
                <c:ptCount val="4"/>
                <c:pt idx="0">
                  <c:v>1-Jan</c:v>
                </c:pt>
                <c:pt idx="1">
                  <c:v>1-Feb</c:v>
                </c:pt>
                <c:pt idx="2">
                  <c:v>1-Mar</c:v>
                </c:pt>
                <c:pt idx="3">
                  <c:v>1-Apr</c:v>
                </c:pt>
              </c:strCache>
            </c:strRef>
          </c:cat>
          <c:val>
            <c:numRef>
              <c:f>' Monthly Revenue'!$C$4:$C$8</c:f>
              <c:numCache>
                <c:formatCode>[$€-C07]\ #,##0.00</c:formatCode>
                <c:ptCount val="4"/>
                <c:pt idx="0">
                  <c:v>2888.65</c:v>
                </c:pt>
                <c:pt idx="1">
                  <c:v>1056</c:v>
                </c:pt>
                <c:pt idx="2">
                  <c:v>899</c:v>
                </c:pt>
                <c:pt idx="3">
                  <c:v>1352.05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4F-44DF-A88A-BB51FA9192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428383"/>
        <c:axId val="108422975"/>
      </c:lineChart>
      <c:catAx>
        <c:axId val="10842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2975"/>
        <c:crosses val="autoZero"/>
        <c:auto val="1"/>
        <c:lblAlgn val="ctr"/>
        <c:lblOffset val="100"/>
        <c:noMultiLvlLbl val="0"/>
      </c:catAx>
      <c:valAx>
        <c:axId val="10842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2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 Country 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 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Country Revenue'!$B$3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Revenue'!$B$4:$B$7</c:f>
              <c:numCache>
                <c:formatCode>General</c:formatCode>
                <c:ptCount val="3"/>
                <c:pt idx="0">
                  <c:v>5499.7</c:v>
                </c:pt>
                <c:pt idx="1">
                  <c:v>438</c:v>
                </c:pt>
                <c:pt idx="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0-4A71-B0E7-C95DEC05C7B3}"/>
            </c:ext>
          </c:extLst>
        </c:ser>
        <c:ser>
          <c:idx val="1"/>
          <c:order val="1"/>
          <c:tx>
            <c:strRef>
              <c:f>' Country Revenue'!$C$3</c:f>
              <c:strCache>
                <c:ptCount val="1"/>
                <c:pt idx="0">
                  <c:v>REVENUE SHARE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Revenue'!$C$4:$C$7</c:f>
              <c:numCache>
                <c:formatCode>General</c:formatCode>
                <c:ptCount val="3"/>
                <c:pt idx="0">
                  <c:v>88.8</c:v>
                </c:pt>
                <c:pt idx="1">
                  <c:v>7.1</c:v>
                </c:pt>
                <c:pt idx="2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0-4A71-B0E7-C95DEC05C7B3}"/>
            </c:ext>
          </c:extLst>
        </c:ser>
        <c:ser>
          <c:idx val="2"/>
          <c:order val="2"/>
          <c:tx>
            <c:strRef>
              <c:f>' Country Revenue'!$D$3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Country Revenue'!$A$4:$A$7</c:f>
              <c:strCache>
                <c:ptCount val="3"/>
                <c:pt idx="0">
                  <c:v>Germany</c:v>
                </c:pt>
                <c:pt idx="1">
                  <c:v>Austria</c:v>
                </c:pt>
                <c:pt idx="2">
                  <c:v>France</c:v>
                </c:pt>
              </c:strCache>
            </c:strRef>
          </c:cat>
          <c:val>
            <c:numRef>
              <c:f>' Country Revenue'!$D$4:$D$7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0-4A71-B0E7-C95DEC05C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2899728"/>
        <c:axId val="1562900560"/>
      </c:barChart>
      <c:catAx>
        <c:axId val="156289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900560"/>
        <c:crosses val="autoZero"/>
        <c:auto val="1"/>
        <c:lblAlgn val="ctr"/>
        <c:lblOffset val="100"/>
        <c:noMultiLvlLbl val="0"/>
      </c:catAx>
      <c:valAx>
        <c:axId val="156290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8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german.xlsx]Top Customers!PivotTable2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Revenue Ranking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Customers'!$A$4:$B$9</c:f>
              <c:multiLvlStrCache>
                <c:ptCount val="5"/>
                <c:lvl>
                  <c:pt idx="0">
                    <c:v>Next 20%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Standard</c:v>
                  </c:pt>
                  <c:pt idx="4">
                    <c:v>Top 20%</c:v>
                  </c:pt>
                </c:lvl>
                <c:lvl>
                  <c:pt idx="0">
                    <c:v>Anna Maxller</c:v>
                  </c:pt>
                  <c:pt idx="1">
                    <c:v>Lukas Wagner</c:v>
                  </c:pt>
                  <c:pt idx="2">
                    <c:v>Maria Hofer</c:v>
                  </c:pt>
                  <c:pt idx="3">
                    <c:v>Sophie Dubois</c:v>
                  </c:pt>
                  <c:pt idx="4">
                    <c:v>Thomas Schmidt</c:v>
                  </c:pt>
                </c:lvl>
              </c:multiLvlStrCache>
            </c:multiLvlStrRef>
          </c:cat>
          <c:val>
            <c:numRef>
              <c:f>'Top Customers'!$C$4:$C$9</c:f>
              <c:numCache>
                <c:formatCode>General</c:formatCode>
                <c:ptCount val="5"/>
                <c:pt idx="0">
                  <c:v>2529.5500000000002</c:v>
                </c:pt>
                <c:pt idx="1">
                  <c:v>149</c:v>
                </c:pt>
                <c:pt idx="2">
                  <c:v>438</c:v>
                </c:pt>
                <c:pt idx="3">
                  <c:v>258</c:v>
                </c:pt>
                <c:pt idx="4">
                  <c:v>2821.15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A-48E2-A439-B28054BC0A9B}"/>
            </c:ext>
          </c:extLst>
        </c:ser>
        <c:ser>
          <c:idx val="1"/>
          <c:order val="1"/>
          <c:tx>
            <c:strRef>
              <c:f>'Top Customers'!$D$3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'Top Customers'!$A$4:$B$9</c:f>
              <c:multiLvlStrCache>
                <c:ptCount val="5"/>
                <c:lvl>
                  <c:pt idx="0">
                    <c:v>Next 20%</c:v>
                  </c:pt>
                  <c:pt idx="1">
                    <c:v>Standard</c:v>
                  </c:pt>
                  <c:pt idx="2">
                    <c:v>Standard</c:v>
                  </c:pt>
                  <c:pt idx="3">
                    <c:v>Standard</c:v>
                  </c:pt>
                  <c:pt idx="4">
                    <c:v>Top 20%</c:v>
                  </c:pt>
                </c:lvl>
                <c:lvl>
                  <c:pt idx="0">
                    <c:v>Anna Maxller</c:v>
                  </c:pt>
                  <c:pt idx="1">
                    <c:v>Lukas Wagner</c:v>
                  </c:pt>
                  <c:pt idx="2">
                    <c:v>Maria Hofer</c:v>
                  </c:pt>
                  <c:pt idx="3">
                    <c:v>Sophie Dubois</c:v>
                  </c:pt>
                  <c:pt idx="4">
                    <c:v>Thomas Schmidt</c:v>
                  </c:pt>
                </c:lvl>
              </c:multiLvlStrCache>
            </c:multiLvlStrRef>
          </c:cat>
          <c:val>
            <c:numRef>
              <c:f>'Top Customers'!$D$4:$D$9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A-48E2-A439-B28054BC0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701215"/>
        <c:axId val="1826703711"/>
      </c:barChart>
      <c:catAx>
        <c:axId val="18267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3711"/>
        <c:crosses val="autoZero"/>
        <c:auto val="1"/>
        <c:lblAlgn val="ctr"/>
        <c:lblOffset val="100"/>
        <c:noMultiLvlLbl val="0"/>
      </c:catAx>
      <c:valAx>
        <c:axId val="18267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german.xlsx]Inventory Status!PivotTable4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Inventory Stock Levels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Status'!$C$3</c:f>
              <c:strCache>
                <c:ptCount val="1"/>
                <c:pt idx="0">
                  <c:v>STOCK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'Inventory Status'!$A$4:$B$14</c:f>
              <c:multiLvlStrCache>
                <c:ptCount val="10"/>
                <c:lvl>
                  <c:pt idx="0">
                    <c:v>Vienna Flagship</c:v>
                  </c:pt>
                  <c:pt idx="1">
                    <c:v>Berlin Central</c:v>
                  </c:pt>
                  <c:pt idx="2">
                    <c:v>Berlin Central</c:v>
                  </c:pt>
                  <c:pt idx="3">
                    <c:v>Munich Store</c:v>
                  </c:pt>
                  <c:pt idx="4">
                    <c:v>Berlin Central</c:v>
                  </c:pt>
                  <c:pt idx="5">
                    <c:v>Berlin Central</c:v>
                  </c:pt>
                  <c:pt idx="6">
                    <c:v>Munich Store</c:v>
                  </c:pt>
                  <c:pt idx="7">
                    <c:v>Berlin Central</c:v>
                  </c:pt>
                  <c:pt idx="8">
                    <c:v>Munich Store</c:v>
                  </c:pt>
                  <c:pt idx="9">
                    <c:v>Paris Branch</c:v>
                  </c:pt>
                </c:lvl>
                <c:lvl>
                  <c:pt idx="0">
                    <c:v>Coffee Maker Deluxe</c:v>
                  </c:pt>
                  <c:pt idx="1">
                    <c:v>Men's Winter Jacket</c:v>
                  </c:pt>
                  <c:pt idx="2">
                    <c:v>Samsung Galaxy S24</c:v>
                  </c:pt>
                  <c:pt idx="4">
                    <c:v>Sony WH-1000XM5</c:v>
                  </c:pt>
                  <c:pt idx="5">
                    <c:v>Standing Desk Pro</c:v>
                  </c:pt>
                  <c:pt idx="7">
                    <c:v>ThinkPad X1 Carbon</c:v>
                  </c:pt>
                  <c:pt idx="9">
                    <c:v>Women's Blazer</c:v>
                  </c:pt>
                </c:lvl>
              </c:multiLvlStrCache>
            </c:multiLvlStrRef>
          </c:cat>
          <c:val>
            <c:numRef>
              <c:f>'Inventory Status'!$C$4:$C$14</c:f>
              <c:numCache>
                <c:formatCode>General</c:formatCode>
                <c:ptCount val="10"/>
                <c:pt idx="0">
                  <c:v>60</c:v>
                </c:pt>
                <c:pt idx="1">
                  <c:v>30</c:v>
                </c:pt>
                <c:pt idx="2">
                  <c:v>22</c:v>
                </c:pt>
                <c:pt idx="3">
                  <c:v>3</c:v>
                </c:pt>
                <c:pt idx="4">
                  <c:v>45</c:v>
                </c:pt>
                <c:pt idx="5">
                  <c:v>4</c:v>
                </c:pt>
                <c:pt idx="6">
                  <c:v>0</c:v>
                </c:pt>
                <c:pt idx="7">
                  <c:v>15</c:v>
                </c:pt>
                <c:pt idx="8">
                  <c:v>8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D-4B55-8E63-AF226CDE79FF}"/>
            </c:ext>
          </c:extLst>
        </c:ser>
        <c:ser>
          <c:idx val="1"/>
          <c:order val="1"/>
          <c:tx>
            <c:strRef>
              <c:f>'Inventory Status'!$D$3</c:f>
              <c:strCache>
                <c:ptCount val="1"/>
                <c:pt idx="0">
                  <c:v>STOCK BUFFER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'Inventory Status'!$A$4:$B$14</c:f>
              <c:multiLvlStrCache>
                <c:ptCount val="10"/>
                <c:lvl>
                  <c:pt idx="0">
                    <c:v>Vienna Flagship</c:v>
                  </c:pt>
                  <c:pt idx="1">
                    <c:v>Berlin Central</c:v>
                  </c:pt>
                  <c:pt idx="2">
                    <c:v>Berlin Central</c:v>
                  </c:pt>
                  <c:pt idx="3">
                    <c:v>Munich Store</c:v>
                  </c:pt>
                  <c:pt idx="4">
                    <c:v>Berlin Central</c:v>
                  </c:pt>
                  <c:pt idx="5">
                    <c:v>Berlin Central</c:v>
                  </c:pt>
                  <c:pt idx="6">
                    <c:v>Munich Store</c:v>
                  </c:pt>
                  <c:pt idx="7">
                    <c:v>Berlin Central</c:v>
                  </c:pt>
                  <c:pt idx="8">
                    <c:v>Munich Store</c:v>
                  </c:pt>
                  <c:pt idx="9">
                    <c:v>Paris Branch</c:v>
                  </c:pt>
                </c:lvl>
                <c:lvl>
                  <c:pt idx="0">
                    <c:v>Coffee Maker Deluxe</c:v>
                  </c:pt>
                  <c:pt idx="1">
                    <c:v>Men's Winter Jacket</c:v>
                  </c:pt>
                  <c:pt idx="2">
                    <c:v>Samsung Galaxy S24</c:v>
                  </c:pt>
                  <c:pt idx="4">
                    <c:v>Sony WH-1000XM5</c:v>
                  </c:pt>
                  <c:pt idx="5">
                    <c:v>Standing Desk Pro</c:v>
                  </c:pt>
                  <c:pt idx="7">
                    <c:v>ThinkPad X1 Carbon</c:v>
                  </c:pt>
                  <c:pt idx="9">
                    <c:v>Women's Blazer</c:v>
                  </c:pt>
                </c:lvl>
              </c:multiLvlStrCache>
            </c:multiLvlStrRef>
          </c:cat>
          <c:val>
            <c:numRef>
              <c:f>'Inventory Status'!$D$4:$D$14</c:f>
              <c:numCache>
                <c:formatCode>General</c:formatCode>
                <c:ptCount val="10"/>
                <c:pt idx="0">
                  <c:v>40</c:v>
                </c:pt>
                <c:pt idx="1">
                  <c:v>15</c:v>
                </c:pt>
                <c:pt idx="2">
                  <c:v>14</c:v>
                </c:pt>
                <c:pt idx="3">
                  <c:v>-5</c:v>
                </c:pt>
                <c:pt idx="4">
                  <c:v>35</c:v>
                </c:pt>
                <c:pt idx="5">
                  <c:v>-1</c:v>
                </c:pt>
                <c:pt idx="6">
                  <c:v>-5</c:v>
                </c:pt>
                <c:pt idx="7">
                  <c:v>10</c:v>
                </c:pt>
                <c:pt idx="8">
                  <c:v>3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D-4B55-8E63-AF226CDE7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57071"/>
        <c:axId val="2122053743"/>
      </c:barChart>
      <c:catAx>
        <c:axId val="21220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53743"/>
        <c:crosses val="autoZero"/>
        <c:auto val="1"/>
        <c:lblAlgn val="ctr"/>
        <c:lblOffset val="100"/>
        <c:noMultiLvlLbl val="0"/>
      </c:catAx>
      <c:valAx>
        <c:axId val="21220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178675</xdr:rowOff>
    </xdr:from>
    <xdr:to>
      <xdr:col>3</xdr:col>
      <xdr:colOff>19707</xdr:colOff>
      <xdr:row>25</xdr:row>
      <xdr:rowOff>162909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10</xdr:row>
      <xdr:rowOff>30480</xdr:rowOff>
    </xdr:from>
    <xdr:to>
      <xdr:col>3</xdr:col>
      <xdr:colOff>906780</xdr:colOff>
      <xdr:row>25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76200</xdr:rowOff>
    </xdr:from>
    <xdr:to>
      <xdr:col>3</xdr:col>
      <xdr:colOff>1043940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1</xdr:row>
      <xdr:rowOff>7620</xdr:rowOff>
    </xdr:from>
    <xdr:to>
      <xdr:col>15</xdr:col>
      <xdr:colOff>358140</xdr:colOff>
      <xdr:row>16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</xdr:col>
      <xdr:colOff>2331357</xdr:colOff>
      <xdr:row>26</xdr:row>
      <xdr:rowOff>21771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11</xdr:row>
      <xdr:rowOff>0</xdr:rowOff>
    </xdr:from>
    <xdr:to>
      <xdr:col>7</xdr:col>
      <xdr:colOff>419101</xdr:colOff>
      <xdr:row>25</xdr:row>
      <xdr:rowOff>176968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</xdr:col>
      <xdr:colOff>2140857</xdr:colOff>
      <xdr:row>45</xdr:row>
      <xdr:rowOff>21771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8</xdr:col>
      <xdr:colOff>419100</xdr:colOff>
      <xdr:row>45</xdr:row>
      <xdr:rowOff>21771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108.653460300928" createdVersion="6" refreshedVersion="6" minRefreshableVersion="3" recordCount="4">
  <cacheSource type="worksheet">
    <worksheetSource ref="A1:C5" sheet="raw_monthly_revenue"/>
  </cacheSource>
  <cacheFields count="4">
    <cacheField name="revenue_month" numFmtId="164">
      <sharedItems containsSemiMixedTypes="0" containsNonDate="0" containsDate="1" containsString="0" minDate="2024-01-01T00:00:00" maxDate="2024-04-02T00:00:00" count="4">
        <d v="2024-01-01T00:00:00"/>
        <d v="2024-02-01T00:00:00"/>
        <d v="2024-03-01T00:00:00"/>
        <d v="2024-04-01T00:00:00"/>
      </sharedItems>
      <fieldGroup par="3" base="0">
        <rangePr groupBy="days" startDate="2024-01-01T00:00:00" endDate="2024-04-02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4"/>
        </groupItems>
      </fieldGroup>
    </cacheField>
    <cacheField name="total_orders" numFmtId="0">
      <sharedItems containsSemiMixedTypes="0" containsString="0" containsNumber="1" containsInteger="1" minValue="1" maxValue="3"/>
    </cacheField>
    <cacheField name="gross_revenue" numFmtId="165">
      <sharedItems containsSemiMixedTypes="0" containsString="0" containsNumber="1" minValue="899" maxValue="2888.65" count="4">
        <n v="2888.65"/>
        <n v="1056"/>
        <n v="899"/>
        <n v="1352.05"/>
      </sharedItems>
    </cacheField>
    <cacheField name="Months" numFmtId="0" databaseField="0">
      <fieldGroup base="0">
        <rangePr groupBy="months" startDate="2024-01-01T00:00:00" endDate="2024-04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108.670467245371" createdVersion="6" refreshedVersion="6" minRefreshableVersion="3" recordCount="3">
  <cacheSource type="worksheet">
    <worksheetSource ref="A1:F4" sheet=" raw_country_revenue"/>
  </cacheSource>
  <cacheFields count="6">
    <cacheField name="shipping_country" numFmtId="0">
      <sharedItems count="3">
        <s v="Germany"/>
        <s v="Austria"/>
        <s v="France"/>
      </sharedItems>
    </cacheField>
    <cacheField name="customer_count" numFmtId="0">
      <sharedItems containsSemiMixedTypes="0" containsString="0" containsNumber="1" containsInteger="1" minValue="1" maxValue="3"/>
    </cacheField>
    <cacheField name="order_count" numFmtId="0">
      <sharedItems containsSemiMixedTypes="0" containsString="0" containsNumber="1" containsInteger="1" minValue="1" maxValue="6"/>
    </cacheField>
    <cacheField name="total_revenue" numFmtId="0">
      <sharedItems containsSemiMixedTypes="0" containsString="0" containsNumber="1" minValue="258" maxValue="5499.7"/>
    </cacheField>
    <cacheField name="avg_order_value" numFmtId="0">
      <sharedItems containsSemiMixedTypes="0" containsString="0" containsNumber="1" minValue="219" maxValue="785.67"/>
    </cacheField>
    <cacheField name="revenue_share_pct" numFmtId="0">
      <sharedItems containsSemiMixedTypes="0" containsString="0" containsNumber="1" minValue="4.2" maxValue="8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sus" refreshedDate="46108.71785335648" createdVersion="6" refreshedVersion="6" minRefreshableVersion="3" recordCount="5">
  <cacheSource type="worksheet">
    <worksheetSource ref="A1:I6" sheet="raw_top_customers"/>
  </cacheSource>
  <cacheFields count="9">
    <cacheField name="customer_id" numFmtId="0">
      <sharedItems containsSemiMixedTypes="0" containsString="0" containsNumber="1" containsInteger="1" minValue="1" maxValue="6"/>
    </cacheField>
    <cacheField name="customer_name" numFmtId="0">
      <sharedItems count="5">
        <s v="Thomas Schmidt"/>
        <s v="Anna Maxller"/>
        <s v="Maria Hofer"/>
        <s v="Sophie Dubois"/>
        <s v="Lukas Wagner"/>
      </sharedItems>
    </cacheField>
    <cacheField name="segment" numFmtId="0">
      <sharedItems/>
    </cacheField>
    <cacheField name="country" numFmtId="0">
      <sharedItems/>
    </cacheField>
    <cacheField name="total_revenue" numFmtId="0">
      <sharedItems containsSemiMixedTypes="0" containsString="0" containsNumber="1" minValue="149" maxValue="2821.15"/>
    </cacheField>
    <cacheField name="total_orders" numFmtId="0">
      <sharedItems containsSemiMixedTypes="0" containsString="0" containsNumber="1" containsInteger="1" minValue="1" maxValue="3"/>
    </cacheField>
    <cacheField name="revenue_rank" numFmtId="0">
      <sharedItems containsSemiMixedTypes="0" containsString="0" containsNumber="1" containsInteger="1" minValue="1" maxValue="5"/>
    </cacheField>
    <cacheField name="cumulative_revenue_pct" numFmtId="0">
      <sharedItems containsSemiMixedTypes="0" containsString="0" containsNumber="1" minValue="45.5" maxValue="100"/>
    </cacheField>
    <cacheField name="customer_tier" numFmtId="0">
      <sharedItems count="3">
        <s v="Top 20%"/>
        <s v="Next 20%"/>
        <s v="Stand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sus" refreshedDate="46108.743011689818" createdVersion="6" refreshedVersion="6" minRefreshableVersion="3" recordCount="10">
  <cacheSource type="worksheet">
    <worksheetSource ref="A1:J11" sheet="raw_stockout"/>
  </cacheSource>
  <cacheFields count="10">
    <cacheField name="product_id" numFmtId="0">
      <sharedItems containsSemiMixedTypes="0" containsString="0" containsNumber="1" containsInteger="1" minValue="1" maxValue="7"/>
    </cacheField>
    <cacheField name="product_name" numFmtId="0">
      <sharedItems count="7">
        <s v="Standing Desk Pro"/>
        <s v="Samsung Galaxy S24"/>
        <s v="Sony WH-1000XM5"/>
        <s v="ThinkPad X1 Carbon"/>
        <s v="Women's Blazer"/>
        <s v="Coffee Maker Deluxe"/>
        <s v="Men's Winter Jacket"/>
      </sharedItems>
    </cacheField>
    <cacheField name="store_name" numFmtId="0">
      <sharedItems count="4">
        <s v="Munich Store"/>
        <s v="Berlin Central"/>
        <s v="Paris Branch"/>
        <s v="Vienna Flagship"/>
      </sharedItems>
    </cacheField>
    <cacheField name="country" numFmtId="0">
      <sharedItems/>
    </cacheField>
    <cacheField name="stock_quantity" numFmtId="0">
      <sharedItems containsSemiMixedTypes="0" containsString="0" containsNumber="1" containsInteger="1" minValue="0" maxValue="60"/>
    </cacheField>
    <cacheField name="reorder_level" numFmtId="0">
      <sharedItems containsSemiMixedTypes="0" containsString="0" containsNumber="1" containsInteger="1" minValue="5" maxValue="20"/>
    </cacheField>
    <cacheField name="last_updated" numFmtId="47">
      <sharedItems containsSemiMixedTypes="0" containsNonDate="0" containsDate="1" containsString="0" minDate="2026-03-26T06:44:21" maxDate="2026-03-26T06:44:21"/>
    </cacheField>
    <cacheField name="stock_status" numFmtId="0">
      <sharedItems count="4">
        <s v="STOCKOUT"/>
        <s v="LOW STOCK - Reorder Now"/>
        <s v="OK"/>
        <s v="Watch - Stock Getting Low"/>
      </sharedItems>
    </cacheField>
    <cacheField name="stock_buffer" numFmtId="0">
      <sharedItems containsSemiMixedTypes="0" containsString="0" containsNumber="1" containsInteger="1" minValue="-5" maxValue="40"/>
    </cacheField>
    <cacheField name="estimated_days_until_stockout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3"/>
    <x v="0"/>
  </r>
  <r>
    <x v="1"/>
    <n v="2"/>
    <x v="1"/>
  </r>
  <r>
    <x v="2"/>
    <n v="1"/>
    <x v="2"/>
  </r>
  <r>
    <x v="3"/>
    <n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n v="3"/>
    <n v="6"/>
    <n v="5499.7"/>
    <n v="785.67"/>
    <n v="88.8"/>
  </r>
  <r>
    <x v="1"/>
    <n v="1"/>
    <n v="2"/>
    <n v="438"/>
    <n v="219"/>
    <n v="7.1"/>
  </r>
  <r>
    <x v="2"/>
    <n v="1"/>
    <n v="1"/>
    <n v="258"/>
    <n v="258"/>
    <n v="4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n v="2"/>
    <x v="0"/>
    <s v="VIP"/>
    <s v="Germany"/>
    <n v="2821.15"/>
    <n v="3"/>
    <n v="1"/>
    <n v="45.5"/>
    <x v="0"/>
  </r>
  <r>
    <n v="1"/>
    <x v="1"/>
    <s v="Premium"/>
    <s v="Germany"/>
    <n v="2529.5500000000002"/>
    <n v="2"/>
    <n v="2"/>
    <n v="86.4"/>
    <x v="1"/>
  </r>
  <r>
    <n v="5"/>
    <x v="2"/>
    <s v="VIP"/>
    <s v="Austria"/>
    <n v="438"/>
    <n v="2"/>
    <n v="3"/>
    <n v="93.4"/>
    <x v="2"/>
  </r>
  <r>
    <n v="3"/>
    <x v="3"/>
    <s v="Standard"/>
    <s v="France"/>
    <n v="258"/>
    <n v="1"/>
    <n v="4"/>
    <n v="97.6"/>
    <x v="2"/>
  </r>
  <r>
    <n v="6"/>
    <x v="4"/>
    <s v="Standard"/>
    <s v="Germany"/>
    <n v="149"/>
    <n v="1"/>
    <n v="5"/>
    <n v="10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">
  <r>
    <n v="7"/>
    <x v="0"/>
    <x v="0"/>
    <s v="Germany"/>
    <n v="0"/>
    <n v="5"/>
    <d v="2026-03-26T06:44:21"/>
    <x v="0"/>
    <n v="-5"/>
    <n v="0"/>
  </r>
  <r>
    <n v="2"/>
    <x v="1"/>
    <x v="0"/>
    <s v="Germany"/>
    <n v="3"/>
    <n v="8"/>
    <d v="2026-03-26T06:44:21"/>
    <x v="1"/>
    <n v="-5"/>
    <n v="0"/>
  </r>
  <r>
    <n v="7"/>
    <x v="0"/>
    <x v="1"/>
    <s v="Germany"/>
    <n v="4"/>
    <n v="5"/>
    <d v="2026-03-26T06:44:21"/>
    <x v="1"/>
    <n v="-1"/>
    <n v="0"/>
  </r>
  <r>
    <n v="3"/>
    <x v="2"/>
    <x v="1"/>
    <s v="Germany"/>
    <n v="45"/>
    <n v="10"/>
    <d v="2026-03-26T06:44:21"/>
    <x v="2"/>
    <n v="35"/>
    <n v="0"/>
  </r>
  <r>
    <n v="1"/>
    <x v="3"/>
    <x v="1"/>
    <s v="Germany"/>
    <n v="15"/>
    <n v="5"/>
    <d v="2026-03-26T06:44:21"/>
    <x v="2"/>
    <n v="10"/>
    <n v="0"/>
  </r>
  <r>
    <n v="5"/>
    <x v="4"/>
    <x v="2"/>
    <s v="France"/>
    <n v="18"/>
    <n v="10"/>
    <d v="2026-03-26T06:44:21"/>
    <x v="3"/>
    <n v="8"/>
    <n v="0"/>
  </r>
  <r>
    <n v="6"/>
    <x v="5"/>
    <x v="3"/>
    <s v="Austria"/>
    <n v="60"/>
    <n v="20"/>
    <d v="2026-03-26T06:44:21"/>
    <x v="2"/>
    <n v="40"/>
    <n v="0"/>
  </r>
  <r>
    <n v="4"/>
    <x v="6"/>
    <x v="1"/>
    <s v="Germany"/>
    <n v="30"/>
    <n v="15"/>
    <d v="2026-03-26T06:44:21"/>
    <x v="3"/>
    <n v="15"/>
    <n v="0"/>
  </r>
  <r>
    <n v="1"/>
    <x v="3"/>
    <x v="0"/>
    <s v="Germany"/>
    <n v="8"/>
    <n v="5"/>
    <d v="2026-03-26T06:44:21"/>
    <x v="3"/>
    <n v="3"/>
    <n v="0"/>
  </r>
  <r>
    <n v="2"/>
    <x v="1"/>
    <x v="1"/>
    <s v="Germany"/>
    <n v="22"/>
    <n v="8"/>
    <d v="2026-03-26T06:44:21"/>
    <x v="2"/>
    <n v="1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REVENUE MONTHS">
  <location ref="A3:C8" firstHeaderRow="0" firstDataRow="1" firstDataCol="1"/>
  <pivotFields count="4"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numFmtId="165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5">
    <i>
      <x v="1"/>
    </i>
    <i>
      <x v="32"/>
    </i>
    <i>
      <x v="61"/>
    </i>
    <i>
      <x v="9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1" baseField="0" baseItem="0"/>
    <dataField name="GROSS REVENUE" fld="2" baseField="0" baseItem="0" numFmtId="165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SHIPPING COUNTRY">
  <location ref="A3:D7" firstHeaderRow="0" firstDataRow="1" firstDataCol="1"/>
  <pivotFields count="6"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</pivotFields>
  <rowFields count="1">
    <field x="0"/>
  </rowFields>
  <rowItems count="4">
    <i>
      <x v="2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3" baseField="0" baseItem="0"/>
    <dataField name="REVENUE SHARE PCT" fld="5" baseField="0" baseItem="0"/>
    <dataField name="CUSTOMER COUNT" fld="1" baseField="0" baseItem="0"/>
  </dataFields>
  <chartFormats count="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D9" firstHeaderRow="0" firstDataRow="1" firstDataCol="2"/>
  <pivotFields count="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USTOMER NAME" axis="axisRow" compact="0" outline="0" showAll="0" defaultSubtotal="0">
      <items count="5">
        <item x="1"/>
        <item x="4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USTOMER TIER" axis="axisRow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8"/>
  </rowFields>
  <rowItems count="6">
    <i>
      <x/>
      <x/>
    </i>
    <i>
      <x v="1"/>
      <x v="1"/>
    </i>
    <i>
      <x v="2"/>
      <x v="1"/>
    </i>
    <i>
      <x v="3"/>
      <x v="1"/>
    </i>
    <i>
      <x v="4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4" baseField="0" baseItem="0"/>
    <dataField name="TOTAL ORDERS" fld="5" baseField="0" baseItem="0"/>
  </dataFields>
  <conditionalFormats count="2"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8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5" selected="0">
              <x v="0"/>
              <x v="1"/>
              <x v="2"/>
              <x v="3"/>
              <x v="4"/>
            </reference>
            <reference field="8" count="3" selected="0">
              <x v="0"/>
              <x v="1"/>
              <x v="2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D14" firstHeaderRow="0" firstDataRow="1" firstDataCol="2" rowPageCount="1" colPageCount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PRODUCT NAME" axis="axisRow" compact="0" outline="0" showAll="0" defaultSubtotal="0">
      <items count="7">
        <item x="5"/>
        <item x="6"/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TORE NAME"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STOCK STATUS" axis="axisPage" compact="0" outline="0" multipleItemSelectionAllowed="1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1">
    <i>
      <x/>
      <x v="3"/>
    </i>
    <i>
      <x v="1"/>
      <x/>
    </i>
    <i>
      <x v="2"/>
      <x/>
    </i>
    <i r="1">
      <x v="1"/>
    </i>
    <i>
      <x v="3"/>
      <x/>
    </i>
    <i>
      <x v="4"/>
      <x/>
    </i>
    <i r="1">
      <x v="1"/>
    </i>
    <i>
      <x v="5"/>
      <x/>
    </i>
    <i r="1">
      <x v="1"/>
    </i>
    <i>
      <x v="6"/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TOCK QUANTITY" fld="4" baseField="0" baseItem="0"/>
    <dataField name="STOCK BUFFER" fld="8" baseField="0" baseItem="0"/>
  </dataField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queryTables/queryTable1.xml><?xml version="1.0" encoding="utf-8"?>
<queryTable xmlns="http://schemas.openxmlformats.org/spreadsheetml/2006/main" name="01_monthly_revenue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02_revenue_by_country.cv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03_top_customer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04_repeat_purchase_rate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05_customer_lifetime_value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06_inventory_turnover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07_stockout_detection" connectionId="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11.109375" bestFit="1" customWidth="1"/>
    <col min="3" max="3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45292</v>
      </c>
      <c r="B2">
        <v>3</v>
      </c>
      <c r="C2" s="2">
        <v>2888.65</v>
      </c>
    </row>
    <row r="3" spans="1:3" x14ac:dyDescent="0.3">
      <c r="A3" s="1">
        <v>45323</v>
      </c>
      <c r="B3">
        <v>2</v>
      </c>
      <c r="C3" s="2">
        <v>1056</v>
      </c>
    </row>
    <row r="4" spans="1:3" x14ac:dyDescent="0.3">
      <c r="A4" s="1">
        <v>45352</v>
      </c>
      <c r="B4">
        <v>1</v>
      </c>
      <c r="C4" s="2">
        <v>899</v>
      </c>
    </row>
    <row r="5" spans="1:3" x14ac:dyDescent="0.3">
      <c r="A5" s="1">
        <v>45383</v>
      </c>
      <c r="B5">
        <v>3</v>
      </c>
      <c r="C5" s="2">
        <v>1352.05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topLeftCell="A2" zoomScale="116" workbookViewId="0">
      <selection activeCell="F20" sqref="F20"/>
    </sheetView>
  </sheetViews>
  <sheetFormatPr defaultRowHeight="14.4" x14ac:dyDescent="0.3"/>
  <cols>
    <col min="1" max="1" width="20.21875" customWidth="1"/>
    <col min="2" max="2" width="20.6640625" customWidth="1"/>
    <col min="3" max="3" width="28.21875" customWidth="1"/>
  </cols>
  <sheetData>
    <row r="3" spans="1:3" x14ac:dyDescent="0.3">
      <c r="A3" s="3" t="s">
        <v>10</v>
      </c>
      <c r="B3" t="s">
        <v>9</v>
      </c>
      <c r="C3" t="s">
        <v>8</v>
      </c>
    </row>
    <row r="4" spans="1:3" x14ac:dyDescent="0.3">
      <c r="A4" s="4" t="s">
        <v>4</v>
      </c>
      <c r="B4" s="5">
        <v>3</v>
      </c>
      <c r="C4" s="2">
        <v>2888.65</v>
      </c>
    </row>
    <row r="5" spans="1:3" x14ac:dyDescent="0.3">
      <c r="A5" s="4" t="s">
        <v>5</v>
      </c>
      <c r="B5" s="5">
        <v>2</v>
      </c>
      <c r="C5" s="2">
        <v>1056</v>
      </c>
    </row>
    <row r="6" spans="1:3" x14ac:dyDescent="0.3">
      <c r="A6" s="4" t="s">
        <v>6</v>
      </c>
      <c r="B6" s="5">
        <v>1</v>
      </c>
      <c r="C6" s="2">
        <v>899</v>
      </c>
    </row>
    <row r="7" spans="1:3" x14ac:dyDescent="0.3">
      <c r="A7" s="4" t="s">
        <v>7</v>
      </c>
      <c r="B7" s="5">
        <v>3</v>
      </c>
      <c r="C7" s="2">
        <v>1352.05</v>
      </c>
    </row>
    <row r="8" spans="1:3" x14ac:dyDescent="0.3">
      <c r="A8" s="4" t="s">
        <v>3</v>
      </c>
      <c r="B8" s="5">
        <v>9</v>
      </c>
      <c r="C8" s="2">
        <v>6195.7</v>
      </c>
    </row>
    <row r="9" spans="1:3" x14ac:dyDescent="0.3">
      <c r="C9" s="2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20" sqref="G20"/>
    </sheetView>
  </sheetViews>
  <sheetFormatPr defaultRowHeight="14.4" x14ac:dyDescent="0.3"/>
  <cols>
    <col min="1" max="1" width="14.88671875" bestFit="1" customWidth="1"/>
    <col min="2" max="2" width="14.44140625" bestFit="1" customWidth="1"/>
    <col min="3" max="3" width="11.109375" bestFit="1" customWidth="1"/>
    <col min="4" max="4" width="12.44140625" bestFit="1" customWidth="1"/>
    <col min="5" max="5" width="14.6640625" bestFit="1" customWidth="1"/>
    <col min="6" max="6" width="16.6640625" bestFit="1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3</v>
      </c>
      <c r="C2">
        <v>6</v>
      </c>
      <c r="D2">
        <v>5499.7</v>
      </c>
      <c r="E2">
        <v>785.67</v>
      </c>
      <c r="F2">
        <v>88.8</v>
      </c>
    </row>
    <row r="3" spans="1:6" x14ac:dyDescent="0.3">
      <c r="A3" t="s">
        <v>18</v>
      </c>
      <c r="B3">
        <v>1</v>
      </c>
      <c r="C3">
        <v>2</v>
      </c>
      <c r="D3">
        <v>438</v>
      </c>
      <c r="E3">
        <v>219</v>
      </c>
      <c r="F3">
        <v>7.1</v>
      </c>
    </row>
    <row r="4" spans="1:6" x14ac:dyDescent="0.3">
      <c r="A4" t="s">
        <v>19</v>
      </c>
      <c r="B4">
        <v>1</v>
      </c>
      <c r="C4">
        <v>1</v>
      </c>
      <c r="D4">
        <v>258</v>
      </c>
      <c r="E4">
        <v>258</v>
      </c>
      <c r="F4">
        <v>4.2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zoomScale="122" workbookViewId="0">
      <selection activeCell="C31" sqref="C31"/>
    </sheetView>
  </sheetViews>
  <sheetFormatPr defaultRowHeight="14.4" x14ac:dyDescent="0.3"/>
  <cols>
    <col min="1" max="1" width="16.88671875" customWidth="1"/>
    <col min="2" max="2" width="23.109375" customWidth="1"/>
    <col min="3" max="3" width="23.88671875" bestFit="1" customWidth="1"/>
    <col min="4" max="4" width="21.5546875" bestFit="1" customWidth="1"/>
  </cols>
  <sheetData>
    <row r="3" spans="1:4" x14ac:dyDescent="0.3">
      <c r="A3" s="3" t="s">
        <v>20</v>
      </c>
      <c r="B3" t="s">
        <v>21</v>
      </c>
      <c r="C3" t="s">
        <v>22</v>
      </c>
      <c r="D3" t="s">
        <v>23</v>
      </c>
    </row>
    <row r="4" spans="1:4" x14ac:dyDescent="0.3">
      <c r="A4" s="6" t="s">
        <v>17</v>
      </c>
      <c r="B4" s="5">
        <v>5499.7</v>
      </c>
      <c r="C4" s="5">
        <v>88.8</v>
      </c>
      <c r="D4" s="5">
        <v>3</v>
      </c>
    </row>
    <row r="5" spans="1:4" x14ac:dyDescent="0.3">
      <c r="A5" s="6" t="s">
        <v>18</v>
      </c>
      <c r="B5" s="5">
        <v>438</v>
      </c>
      <c r="C5" s="5">
        <v>7.1</v>
      </c>
      <c r="D5" s="5">
        <v>1</v>
      </c>
    </row>
    <row r="6" spans="1:4" x14ac:dyDescent="0.3">
      <c r="A6" s="6" t="s">
        <v>19</v>
      </c>
      <c r="B6" s="5">
        <v>258</v>
      </c>
      <c r="C6" s="5">
        <v>4.2</v>
      </c>
      <c r="D6" s="5">
        <v>1</v>
      </c>
    </row>
    <row r="7" spans="1:4" x14ac:dyDescent="0.3">
      <c r="A7" s="6" t="s">
        <v>3</v>
      </c>
      <c r="B7" s="5">
        <v>6195.7</v>
      </c>
      <c r="C7" s="5">
        <v>100.1</v>
      </c>
      <c r="D7" s="5"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22" customWidth="1"/>
    <col min="3" max="3" width="16.77734375" customWidth="1"/>
    <col min="4" max="4" width="11.5546875" customWidth="1"/>
    <col min="5" max="5" width="17.6640625" customWidth="1"/>
    <col min="6" max="7" width="20.109375" customWidth="1"/>
    <col min="8" max="8" width="21.33203125" bestFit="1" customWidth="1"/>
    <col min="9" max="9" width="18.33203125" customWidth="1"/>
  </cols>
  <sheetData>
    <row r="1" spans="1:9" x14ac:dyDescent="0.3">
      <c r="A1" t="s">
        <v>24</v>
      </c>
      <c r="B1" t="s">
        <v>25</v>
      </c>
      <c r="C1" t="s">
        <v>26</v>
      </c>
      <c r="D1" t="s">
        <v>27</v>
      </c>
      <c r="E1" t="s">
        <v>14</v>
      </c>
      <c r="F1" t="s">
        <v>1</v>
      </c>
      <c r="G1" t="s">
        <v>28</v>
      </c>
      <c r="H1" t="s">
        <v>29</v>
      </c>
      <c r="I1" t="s">
        <v>30</v>
      </c>
    </row>
    <row r="2" spans="1:9" x14ac:dyDescent="0.3">
      <c r="A2">
        <v>2</v>
      </c>
      <c r="B2" t="s">
        <v>31</v>
      </c>
      <c r="C2" t="s">
        <v>32</v>
      </c>
      <c r="D2" t="s">
        <v>17</v>
      </c>
      <c r="E2">
        <v>2821.15</v>
      </c>
      <c r="F2">
        <v>3</v>
      </c>
      <c r="G2">
        <v>1</v>
      </c>
      <c r="H2">
        <v>45.5</v>
      </c>
      <c r="I2" t="s">
        <v>33</v>
      </c>
    </row>
    <row r="3" spans="1:9" x14ac:dyDescent="0.3">
      <c r="A3">
        <v>1</v>
      </c>
      <c r="B3" t="s">
        <v>40</v>
      </c>
      <c r="C3" t="s">
        <v>34</v>
      </c>
      <c r="D3" t="s">
        <v>17</v>
      </c>
      <c r="E3">
        <v>2529.5500000000002</v>
      </c>
      <c r="F3">
        <v>2</v>
      </c>
      <c r="G3">
        <v>2</v>
      </c>
      <c r="H3">
        <v>86.4</v>
      </c>
      <c r="I3" t="s">
        <v>35</v>
      </c>
    </row>
    <row r="4" spans="1:9" x14ac:dyDescent="0.3">
      <c r="A4">
        <v>5</v>
      </c>
      <c r="B4" t="s">
        <v>36</v>
      </c>
      <c r="C4" t="s">
        <v>32</v>
      </c>
      <c r="D4" t="s">
        <v>18</v>
      </c>
      <c r="E4">
        <v>438</v>
      </c>
      <c r="F4">
        <v>2</v>
      </c>
      <c r="G4">
        <v>3</v>
      </c>
      <c r="H4">
        <v>93.4</v>
      </c>
      <c r="I4" t="s">
        <v>37</v>
      </c>
    </row>
    <row r="5" spans="1:9" x14ac:dyDescent="0.3">
      <c r="A5">
        <v>3</v>
      </c>
      <c r="B5" t="s">
        <v>38</v>
      </c>
      <c r="C5" t="s">
        <v>37</v>
      </c>
      <c r="D5" t="s">
        <v>19</v>
      </c>
      <c r="E5">
        <v>258</v>
      </c>
      <c r="F5">
        <v>1</v>
      </c>
      <c r="G5">
        <v>4</v>
      </c>
      <c r="H5">
        <v>97.6</v>
      </c>
      <c r="I5" t="s">
        <v>37</v>
      </c>
    </row>
    <row r="6" spans="1:9" x14ac:dyDescent="0.3">
      <c r="A6">
        <v>6</v>
      </c>
      <c r="B6" t="s">
        <v>39</v>
      </c>
      <c r="C6" t="s">
        <v>37</v>
      </c>
      <c r="D6" t="s">
        <v>17</v>
      </c>
      <c r="E6">
        <v>149</v>
      </c>
      <c r="F6">
        <v>1</v>
      </c>
      <c r="G6">
        <v>5</v>
      </c>
      <c r="H6">
        <v>100</v>
      </c>
      <c r="I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K23" sqref="K23"/>
    </sheetView>
  </sheetViews>
  <sheetFormatPr defaultRowHeight="14.4" x14ac:dyDescent="0.3"/>
  <cols>
    <col min="1" max="1" width="17.109375" bestFit="1" customWidth="1"/>
    <col min="2" max="2" width="14.88671875" customWidth="1"/>
    <col min="3" max="3" width="19.44140625" customWidth="1"/>
    <col min="4" max="4" width="17.88671875" bestFit="1" customWidth="1"/>
  </cols>
  <sheetData>
    <row r="3" spans="1:4" x14ac:dyDescent="0.3">
      <c r="A3" s="3" t="s">
        <v>41</v>
      </c>
      <c r="B3" s="3" t="s">
        <v>42</v>
      </c>
      <c r="C3" t="s">
        <v>21</v>
      </c>
      <c r="D3" t="s">
        <v>9</v>
      </c>
    </row>
    <row r="4" spans="1:4" x14ac:dyDescent="0.3">
      <c r="A4" t="s">
        <v>40</v>
      </c>
      <c r="B4" t="s">
        <v>35</v>
      </c>
      <c r="C4" s="5">
        <v>2529.5500000000002</v>
      </c>
      <c r="D4" s="5">
        <v>2</v>
      </c>
    </row>
    <row r="5" spans="1:4" x14ac:dyDescent="0.3">
      <c r="A5" t="s">
        <v>39</v>
      </c>
      <c r="B5" t="s">
        <v>37</v>
      </c>
      <c r="C5" s="5">
        <v>149</v>
      </c>
      <c r="D5" s="5">
        <v>1</v>
      </c>
    </row>
    <row r="6" spans="1:4" x14ac:dyDescent="0.3">
      <c r="A6" t="s">
        <v>36</v>
      </c>
      <c r="B6" t="s">
        <v>37</v>
      </c>
      <c r="C6" s="5">
        <v>438</v>
      </c>
      <c r="D6" s="5">
        <v>2</v>
      </c>
    </row>
    <row r="7" spans="1:4" x14ac:dyDescent="0.3">
      <c r="A7" t="s">
        <v>38</v>
      </c>
      <c r="B7" t="s">
        <v>37</v>
      </c>
      <c r="C7" s="5">
        <v>258</v>
      </c>
      <c r="D7" s="5">
        <v>1</v>
      </c>
    </row>
    <row r="8" spans="1:4" x14ac:dyDescent="0.3">
      <c r="A8" t="s">
        <v>31</v>
      </c>
      <c r="B8" t="s">
        <v>33</v>
      </c>
      <c r="C8" s="5">
        <v>2821.15</v>
      </c>
      <c r="D8" s="5">
        <v>3</v>
      </c>
    </row>
    <row r="9" spans="1:4" x14ac:dyDescent="0.3">
      <c r="A9" t="s">
        <v>3</v>
      </c>
      <c r="C9" s="5">
        <v>6195.7000000000007</v>
      </c>
      <c r="D9" s="5">
        <v>9</v>
      </c>
    </row>
  </sheetData>
  <conditionalFormatting pivot="1" sqref="C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{94FD208E-C4C6-4938-8630-705092B68E7B}</x14:id>
        </ext>
      </extLst>
    </cfRule>
  </conditionalFormatting>
  <conditionalFormatting pivot="1" sqref="C4:C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{1E3B969C-0DF5-4BD0-BA57-4B124A3008C9}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4FD208E-C4C6-4938-8630-705092B68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 pivot="1">
          <x14:cfRule type="dataBar" id="{1E3B969C-0DF5-4BD0-BA57-4B124A3008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cols>
    <col min="1" max="1" width="14.44140625" bestFit="1" customWidth="1"/>
    <col min="2" max="2" width="15.21875" bestFit="1" customWidth="1"/>
    <col min="3" max="3" width="12.6640625" bestFit="1" customWidth="1"/>
    <col min="4" max="4" width="22.88671875" bestFit="1" customWidth="1"/>
    <col min="5" max="5" width="22.6640625" bestFit="1" customWidth="1"/>
  </cols>
  <sheetData>
    <row r="1" spans="1:5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3">
      <c r="A2">
        <v>5</v>
      </c>
      <c r="B2">
        <v>2</v>
      </c>
      <c r="C2">
        <v>3</v>
      </c>
      <c r="D2">
        <v>60</v>
      </c>
      <c r="E2">
        <v>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E2" sqref="E2"/>
    </sheetView>
  </sheetViews>
  <sheetFormatPr defaultRowHeight="14.4" x14ac:dyDescent="0.3"/>
  <cols>
    <col min="1" max="1" width="11.109375" bestFit="1" customWidth="1"/>
    <col min="2" max="2" width="14.44140625" bestFit="1" customWidth="1"/>
    <col min="3" max="3" width="8.21875" bestFit="1" customWidth="1"/>
    <col min="4" max="4" width="11.109375" bestFit="1" customWidth="1"/>
    <col min="5" max="5" width="12.44140625" bestFit="1" customWidth="1"/>
    <col min="6" max="6" width="14.44140625" bestFit="1" customWidth="1"/>
    <col min="7" max="7" width="14.109375" bestFit="1" customWidth="1"/>
    <col min="8" max="8" width="12" bestFit="1" customWidth="1"/>
    <col min="9" max="9" width="14.6640625" bestFit="1" customWidth="1"/>
    <col min="10" max="10" width="16.33203125" bestFit="1" customWidth="1"/>
    <col min="11" max="11" width="12.88671875" bestFit="1" customWidth="1"/>
  </cols>
  <sheetData>
    <row r="1" spans="1:11" x14ac:dyDescent="0.3">
      <c r="A1" t="s">
        <v>24</v>
      </c>
      <c r="B1" t="s">
        <v>25</v>
      </c>
      <c r="C1" t="s">
        <v>26</v>
      </c>
      <c r="D1" t="s">
        <v>1</v>
      </c>
      <c r="E1" t="s">
        <v>14</v>
      </c>
      <c r="F1" t="s">
        <v>84</v>
      </c>
      <c r="G1" t="s">
        <v>85</v>
      </c>
      <c r="H1" t="s">
        <v>86</v>
      </c>
      <c r="I1" t="s">
        <v>15</v>
      </c>
      <c r="J1" t="s">
        <v>87</v>
      </c>
      <c r="K1" t="s">
        <v>88</v>
      </c>
    </row>
    <row r="2" spans="1:11" x14ac:dyDescent="0.3">
      <c r="A2">
        <v>2</v>
      </c>
      <c r="B2" t="s">
        <v>31</v>
      </c>
      <c r="C2" t="s">
        <v>32</v>
      </c>
      <c r="D2">
        <v>3</v>
      </c>
      <c r="E2">
        <v>2821.15</v>
      </c>
      <c r="F2" s="8">
        <v>45306</v>
      </c>
      <c r="G2" s="8">
        <v>45392</v>
      </c>
      <c r="H2">
        <v>86</v>
      </c>
      <c r="I2">
        <v>940.38</v>
      </c>
      <c r="J2">
        <v>1.05</v>
      </c>
      <c r="K2">
        <v>11973.49</v>
      </c>
    </row>
    <row r="3" spans="1:11" x14ac:dyDescent="0.3">
      <c r="A3">
        <v>1</v>
      </c>
      <c r="B3" t="s">
        <v>89</v>
      </c>
      <c r="C3" t="s">
        <v>34</v>
      </c>
      <c r="D3">
        <v>2</v>
      </c>
      <c r="E3">
        <v>2529.5500000000002</v>
      </c>
      <c r="F3" s="8">
        <v>45301</v>
      </c>
      <c r="G3" s="8">
        <v>45373</v>
      </c>
      <c r="H3">
        <v>72</v>
      </c>
      <c r="I3">
        <v>1264.78</v>
      </c>
      <c r="J3">
        <v>0.83</v>
      </c>
      <c r="K3">
        <v>12823.41</v>
      </c>
    </row>
    <row r="4" spans="1:11" x14ac:dyDescent="0.3">
      <c r="A4">
        <v>5</v>
      </c>
      <c r="B4" t="s">
        <v>36</v>
      </c>
      <c r="C4" t="s">
        <v>32</v>
      </c>
      <c r="D4">
        <v>2</v>
      </c>
      <c r="E4">
        <v>438</v>
      </c>
      <c r="F4" s="8">
        <v>45311</v>
      </c>
      <c r="G4" s="8">
        <v>45387</v>
      </c>
      <c r="H4">
        <v>76</v>
      </c>
      <c r="I4">
        <v>219</v>
      </c>
      <c r="J4">
        <v>0.79</v>
      </c>
      <c r="K4">
        <v>2103.5500000000002</v>
      </c>
    </row>
    <row r="5" spans="1:11" x14ac:dyDescent="0.3">
      <c r="A5">
        <v>3</v>
      </c>
      <c r="B5" t="s">
        <v>38</v>
      </c>
      <c r="C5" t="s">
        <v>37</v>
      </c>
      <c r="D5">
        <v>1</v>
      </c>
      <c r="E5">
        <v>258</v>
      </c>
      <c r="F5" s="8">
        <v>45336</v>
      </c>
      <c r="G5" s="8">
        <v>45336</v>
      </c>
      <c r="H5">
        <v>0</v>
      </c>
      <c r="I5">
        <v>258</v>
      </c>
      <c r="J5">
        <v>1</v>
      </c>
      <c r="K5" t="s">
        <v>90</v>
      </c>
    </row>
    <row r="6" spans="1:11" x14ac:dyDescent="0.3">
      <c r="A6">
        <v>6</v>
      </c>
      <c r="B6" t="s">
        <v>39</v>
      </c>
      <c r="C6" t="s">
        <v>37</v>
      </c>
      <c r="D6">
        <v>1</v>
      </c>
      <c r="E6">
        <v>149</v>
      </c>
      <c r="F6" s="8">
        <v>45400</v>
      </c>
      <c r="G6" s="8">
        <v>45400</v>
      </c>
      <c r="H6">
        <v>0</v>
      </c>
      <c r="I6">
        <v>149</v>
      </c>
      <c r="J6">
        <v>1</v>
      </c>
      <c r="K6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26" sqref="I26"/>
    </sheetView>
  </sheetViews>
  <sheetFormatPr defaultRowHeight="14.4" x14ac:dyDescent="0.3"/>
  <cols>
    <col min="1" max="1" width="9.77734375" bestFit="1" customWidth="1"/>
    <col min="2" max="2" width="18.44140625" bestFit="1" customWidth="1"/>
    <col min="3" max="3" width="12.21875" bestFit="1" customWidth="1"/>
    <col min="4" max="4" width="14.21875" bestFit="1" customWidth="1"/>
    <col min="5" max="5" width="5" bestFit="1" customWidth="1"/>
    <col min="6" max="6" width="14.109375" bestFit="1" customWidth="1"/>
    <col min="7" max="7" width="21.88671875" bestFit="1" customWidth="1"/>
    <col min="8" max="8" width="16.5546875" bestFit="1" customWidth="1"/>
  </cols>
  <sheetData>
    <row r="1" spans="1:8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3">
      <c r="A2">
        <v>7</v>
      </c>
      <c r="B2" t="s">
        <v>51</v>
      </c>
      <c r="C2">
        <v>4</v>
      </c>
      <c r="D2">
        <v>2</v>
      </c>
      <c r="E2">
        <v>420</v>
      </c>
      <c r="F2">
        <v>840</v>
      </c>
      <c r="G2">
        <v>0.5</v>
      </c>
      <c r="H2">
        <v>730</v>
      </c>
    </row>
    <row r="3" spans="1:8" x14ac:dyDescent="0.3">
      <c r="A3">
        <v>5</v>
      </c>
      <c r="B3" t="s">
        <v>52</v>
      </c>
      <c r="C3">
        <v>18</v>
      </c>
      <c r="D3">
        <v>2</v>
      </c>
      <c r="E3">
        <v>96</v>
      </c>
      <c r="F3">
        <v>864</v>
      </c>
      <c r="G3">
        <v>0.11</v>
      </c>
      <c r="H3">
        <v>3285</v>
      </c>
    </row>
    <row r="4" spans="1:8" x14ac:dyDescent="0.3">
      <c r="A4">
        <v>1</v>
      </c>
      <c r="B4" t="s">
        <v>53</v>
      </c>
      <c r="C4">
        <v>23</v>
      </c>
      <c r="D4">
        <v>2</v>
      </c>
      <c r="E4">
        <v>1700</v>
      </c>
      <c r="F4">
        <v>19550</v>
      </c>
      <c r="G4">
        <v>0.09</v>
      </c>
      <c r="H4">
        <v>4198</v>
      </c>
    </row>
    <row r="5" spans="1:8" x14ac:dyDescent="0.3">
      <c r="A5">
        <v>2</v>
      </c>
      <c r="B5" t="s">
        <v>54</v>
      </c>
      <c r="C5">
        <v>25</v>
      </c>
      <c r="D5">
        <v>2</v>
      </c>
      <c r="E5">
        <v>1040</v>
      </c>
      <c r="F5">
        <v>13000</v>
      </c>
      <c r="G5">
        <v>0.08</v>
      </c>
      <c r="H5">
        <v>4563</v>
      </c>
    </row>
    <row r="6" spans="1:8" x14ac:dyDescent="0.3">
      <c r="A6">
        <v>3</v>
      </c>
      <c r="B6" t="s">
        <v>55</v>
      </c>
      <c r="C6">
        <v>45</v>
      </c>
      <c r="D6">
        <v>2</v>
      </c>
      <c r="E6">
        <v>360</v>
      </c>
      <c r="F6">
        <v>8100</v>
      </c>
      <c r="G6">
        <v>0.04</v>
      </c>
      <c r="H6">
        <v>8213</v>
      </c>
    </row>
    <row r="7" spans="1:8" x14ac:dyDescent="0.3">
      <c r="A7">
        <v>4</v>
      </c>
      <c r="B7" t="s">
        <v>56</v>
      </c>
      <c r="C7">
        <v>30</v>
      </c>
      <c r="D7">
        <v>1</v>
      </c>
      <c r="E7">
        <v>55</v>
      </c>
      <c r="F7">
        <v>1650</v>
      </c>
      <c r="G7">
        <v>0.03</v>
      </c>
      <c r="H7">
        <v>10950</v>
      </c>
    </row>
    <row r="8" spans="1:8" x14ac:dyDescent="0.3">
      <c r="A8">
        <v>6</v>
      </c>
      <c r="B8" t="s">
        <v>57</v>
      </c>
      <c r="C8">
        <v>60</v>
      </c>
      <c r="D8">
        <v>1</v>
      </c>
      <c r="E8">
        <v>32</v>
      </c>
      <c r="F8">
        <v>1920</v>
      </c>
      <c r="G8">
        <v>0.02</v>
      </c>
      <c r="H8">
        <v>21900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3" sqref="B3"/>
    </sheetView>
  </sheetViews>
  <sheetFormatPr defaultRowHeight="14.4" x14ac:dyDescent="0.3"/>
  <cols>
    <col min="1" max="1" width="9.77734375" bestFit="1" customWidth="1"/>
    <col min="2" max="2" width="18.44140625" bestFit="1" customWidth="1"/>
    <col min="3" max="3" width="13.5546875" bestFit="1" customWidth="1"/>
    <col min="4" max="4" width="8.33203125" bestFit="1" customWidth="1"/>
    <col min="5" max="5" width="13.109375" bestFit="1" customWidth="1"/>
    <col min="6" max="6" width="11.88671875" bestFit="1" customWidth="1"/>
    <col min="7" max="7" width="11.5546875" bestFit="1" customWidth="1"/>
    <col min="8" max="8" width="23.5546875" bestFit="1" customWidth="1"/>
    <col min="9" max="9" width="11.33203125" bestFit="1" customWidth="1"/>
    <col min="10" max="10" width="26.88671875" bestFit="1" customWidth="1"/>
  </cols>
  <sheetData>
    <row r="1" spans="1:10" x14ac:dyDescent="0.3">
      <c r="A1" t="s">
        <v>43</v>
      </c>
      <c r="B1" t="s">
        <v>44</v>
      </c>
      <c r="C1" t="s">
        <v>59</v>
      </c>
      <c r="D1" t="s">
        <v>27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3">
      <c r="A2">
        <v>7</v>
      </c>
      <c r="B2" t="s">
        <v>51</v>
      </c>
      <c r="C2" t="s">
        <v>66</v>
      </c>
      <c r="D2" t="s">
        <v>17</v>
      </c>
      <c r="E2">
        <v>0</v>
      </c>
      <c r="F2">
        <v>5</v>
      </c>
      <c r="G2" s="7">
        <v>46107.280796724539</v>
      </c>
      <c r="H2" t="s">
        <v>67</v>
      </c>
      <c r="I2">
        <v>-5</v>
      </c>
      <c r="J2">
        <v>0</v>
      </c>
    </row>
    <row r="3" spans="1:10" x14ac:dyDescent="0.3">
      <c r="A3">
        <v>2</v>
      </c>
      <c r="B3" t="s">
        <v>54</v>
      </c>
      <c r="C3" t="s">
        <v>66</v>
      </c>
      <c r="D3" t="s">
        <v>17</v>
      </c>
      <c r="E3">
        <v>3</v>
      </c>
      <c r="F3">
        <v>8</v>
      </c>
      <c r="G3" s="7">
        <v>46107.280796724539</v>
      </c>
      <c r="H3" t="s">
        <v>68</v>
      </c>
      <c r="I3">
        <v>-5</v>
      </c>
      <c r="J3">
        <v>0</v>
      </c>
    </row>
    <row r="4" spans="1:10" x14ac:dyDescent="0.3">
      <c r="A4">
        <v>7</v>
      </c>
      <c r="B4" t="s">
        <v>51</v>
      </c>
      <c r="C4" t="s">
        <v>69</v>
      </c>
      <c r="D4" t="s">
        <v>17</v>
      </c>
      <c r="E4">
        <v>4</v>
      </c>
      <c r="F4">
        <v>5</v>
      </c>
      <c r="G4" s="7">
        <v>46107.280796724539</v>
      </c>
      <c r="H4" t="s">
        <v>68</v>
      </c>
      <c r="I4">
        <v>-1</v>
      </c>
      <c r="J4">
        <v>0</v>
      </c>
    </row>
    <row r="5" spans="1:10" x14ac:dyDescent="0.3">
      <c r="A5">
        <v>3</v>
      </c>
      <c r="B5" t="s">
        <v>55</v>
      </c>
      <c r="C5" t="s">
        <v>69</v>
      </c>
      <c r="D5" t="s">
        <v>17</v>
      </c>
      <c r="E5">
        <v>45</v>
      </c>
      <c r="F5">
        <v>10</v>
      </c>
      <c r="G5" s="7">
        <v>46107.280796724539</v>
      </c>
      <c r="H5" t="s">
        <v>70</v>
      </c>
      <c r="I5">
        <v>35</v>
      </c>
      <c r="J5">
        <v>0</v>
      </c>
    </row>
    <row r="6" spans="1:10" x14ac:dyDescent="0.3">
      <c r="A6">
        <v>1</v>
      </c>
      <c r="B6" t="s">
        <v>53</v>
      </c>
      <c r="C6" t="s">
        <v>69</v>
      </c>
      <c r="D6" t="s">
        <v>17</v>
      </c>
      <c r="E6">
        <v>15</v>
      </c>
      <c r="F6">
        <v>5</v>
      </c>
      <c r="G6" s="7">
        <v>46107.280796724539</v>
      </c>
      <c r="H6" t="s">
        <v>70</v>
      </c>
      <c r="I6">
        <v>10</v>
      </c>
      <c r="J6">
        <v>0</v>
      </c>
    </row>
    <row r="7" spans="1:10" x14ac:dyDescent="0.3">
      <c r="A7">
        <v>5</v>
      </c>
      <c r="B7" t="s">
        <v>52</v>
      </c>
      <c r="C7" t="s">
        <v>71</v>
      </c>
      <c r="D7" t="s">
        <v>19</v>
      </c>
      <c r="E7">
        <v>18</v>
      </c>
      <c r="F7">
        <v>10</v>
      </c>
      <c r="G7" s="7">
        <v>46107.280796724539</v>
      </c>
      <c r="H7" t="s">
        <v>72</v>
      </c>
      <c r="I7">
        <v>8</v>
      </c>
      <c r="J7">
        <v>0</v>
      </c>
    </row>
    <row r="8" spans="1:10" x14ac:dyDescent="0.3">
      <c r="A8">
        <v>6</v>
      </c>
      <c r="B8" t="s">
        <v>57</v>
      </c>
      <c r="C8" t="s">
        <v>73</v>
      </c>
      <c r="D8" t="s">
        <v>18</v>
      </c>
      <c r="E8">
        <v>60</v>
      </c>
      <c r="F8">
        <v>20</v>
      </c>
      <c r="G8" s="7">
        <v>46107.280796724539</v>
      </c>
      <c r="H8" t="s">
        <v>70</v>
      </c>
      <c r="I8">
        <v>40</v>
      </c>
      <c r="J8">
        <v>0</v>
      </c>
    </row>
    <row r="9" spans="1:10" x14ac:dyDescent="0.3">
      <c r="A9">
        <v>4</v>
      </c>
      <c r="B9" t="s">
        <v>56</v>
      </c>
      <c r="C9" t="s">
        <v>69</v>
      </c>
      <c r="D9" t="s">
        <v>17</v>
      </c>
      <c r="E9">
        <v>30</v>
      </c>
      <c r="F9">
        <v>15</v>
      </c>
      <c r="G9" s="7">
        <v>46107.280796724539</v>
      </c>
      <c r="H9" t="s">
        <v>72</v>
      </c>
      <c r="I9">
        <v>15</v>
      </c>
      <c r="J9">
        <v>0</v>
      </c>
    </row>
    <row r="10" spans="1:10" x14ac:dyDescent="0.3">
      <c r="A10">
        <v>1</v>
      </c>
      <c r="B10" t="s">
        <v>53</v>
      </c>
      <c r="C10" t="s">
        <v>66</v>
      </c>
      <c r="D10" t="s">
        <v>17</v>
      </c>
      <c r="E10">
        <v>8</v>
      </c>
      <c r="F10">
        <v>5</v>
      </c>
      <c r="G10" s="7">
        <v>46107.280796724539</v>
      </c>
      <c r="H10" t="s">
        <v>72</v>
      </c>
      <c r="I10">
        <v>3</v>
      </c>
      <c r="J10">
        <v>0</v>
      </c>
    </row>
    <row r="11" spans="1:10" x14ac:dyDescent="0.3">
      <c r="A11">
        <v>2</v>
      </c>
      <c r="B11" t="s">
        <v>54</v>
      </c>
      <c r="C11" t="s">
        <v>69</v>
      </c>
      <c r="D11" t="s">
        <v>17</v>
      </c>
      <c r="E11">
        <v>22</v>
      </c>
      <c r="F11">
        <v>8</v>
      </c>
      <c r="G11" s="7">
        <v>46107.280796724539</v>
      </c>
      <c r="H11" t="s">
        <v>70</v>
      </c>
      <c r="I11">
        <v>14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H28" sqref="G28:H40"/>
    </sheetView>
  </sheetViews>
  <sheetFormatPr defaultRowHeight="14.4" x14ac:dyDescent="0.3"/>
  <cols>
    <col min="1" max="1" width="20.77734375" bestFit="1" customWidth="1"/>
    <col min="2" max="2" width="13.5546875" bestFit="1" customWidth="1"/>
    <col min="3" max="3" width="20.21875" bestFit="1" customWidth="1"/>
    <col min="4" max="4" width="18.33203125" bestFit="1" customWidth="1"/>
  </cols>
  <sheetData>
    <row r="1" spans="1:4" x14ac:dyDescent="0.3">
      <c r="A1" s="3" t="s">
        <v>78</v>
      </c>
      <c r="B1" t="s">
        <v>58</v>
      </c>
    </row>
    <row r="3" spans="1:4" x14ac:dyDescent="0.3">
      <c r="A3" s="3" t="s">
        <v>74</v>
      </c>
      <c r="B3" s="3" t="s">
        <v>75</v>
      </c>
      <c r="C3" t="s">
        <v>76</v>
      </c>
      <c r="D3" t="s">
        <v>77</v>
      </c>
    </row>
    <row r="4" spans="1:4" x14ac:dyDescent="0.3">
      <c r="A4" t="s">
        <v>57</v>
      </c>
      <c r="B4" t="s">
        <v>73</v>
      </c>
      <c r="C4" s="5">
        <v>60</v>
      </c>
      <c r="D4" s="5">
        <v>40</v>
      </c>
    </row>
    <row r="5" spans="1:4" x14ac:dyDescent="0.3">
      <c r="A5" t="s">
        <v>56</v>
      </c>
      <c r="B5" t="s">
        <v>69</v>
      </c>
      <c r="C5" s="5">
        <v>30</v>
      </c>
      <c r="D5" s="5">
        <v>15</v>
      </c>
    </row>
    <row r="6" spans="1:4" x14ac:dyDescent="0.3">
      <c r="A6" t="s">
        <v>54</v>
      </c>
      <c r="B6" t="s">
        <v>69</v>
      </c>
      <c r="C6" s="5">
        <v>22</v>
      </c>
      <c r="D6" s="5">
        <v>14</v>
      </c>
    </row>
    <row r="7" spans="1:4" x14ac:dyDescent="0.3">
      <c r="A7" t="s">
        <v>54</v>
      </c>
      <c r="B7" t="s">
        <v>66</v>
      </c>
      <c r="C7" s="5">
        <v>3</v>
      </c>
      <c r="D7" s="5">
        <v>-5</v>
      </c>
    </row>
    <row r="8" spans="1:4" x14ac:dyDescent="0.3">
      <c r="A8" t="s">
        <v>55</v>
      </c>
      <c r="B8" t="s">
        <v>69</v>
      </c>
      <c r="C8" s="5">
        <v>45</v>
      </c>
      <c r="D8" s="5">
        <v>35</v>
      </c>
    </row>
    <row r="9" spans="1:4" x14ac:dyDescent="0.3">
      <c r="A9" t="s">
        <v>51</v>
      </c>
      <c r="B9" t="s">
        <v>69</v>
      </c>
      <c r="C9" s="5">
        <v>4</v>
      </c>
      <c r="D9" s="5">
        <v>-1</v>
      </c>
    </row>
    <row r="10" spans="1:4" x14ac:dyDescent="0.3">
      <c r="A10" t="s">
        <v>51</v>
      </c>
      <c r="B10" t="s">
        <v>66</v>
      </c>
      <c r="C10" s="5">
        <v>0</v>
      </c>
      <c r="D10" s="5">
        <v>-5</v>
      </c>
    </row>
    <row r="11" spans="1:4" x14ac:dyDescent="0.3">
      <c r="A11" t="s">
        <v>53</v>
      </c>
      <c r="B11" t="s">
        <v>69</v>
      </c>
      <c r="C11" s="5">
        <v>15</v>
      </c>
      <c r="D11" s="5">
        <v>10</v>
      </c>
    </row>
    <row r="12" spans="1:4" x14ac:dyDescent="0.3">
      <c r="A12" t="s">
        <v>53</v>
      </c>
      <c r="B12" t="s">
        <v>66</v>
      </c>
      <c r="C12" s="5">
        <v>8</v>
      </c>
      <c r="D12" s="5">
        <v>3</v>
      </c>
    </row>
    <row r="13" spans="1:4" x14ac:dyDescent="0.3">
      <c r="A13" t="s">
        <v>52</v>
      </c>
      <c r="B13" t="s">
        <v>71</v>
      </c>
      <c r="C13" s="5">
        <v>18</v>
      </c>
      <c r="D13" s="5">
        <v>8</v>
      </c>
    </row>
    <row r="14" spans="1:4" x14ac:dyDescent="0.3">
      <c r="A14" t="s">
        <v>3</v>
      </c>
      <c r="C14" s="5">
        <v>205</v>
      </c>
      <c r="D14" s="5">
        <v>114</v>
      </c>
    </row>
  </sheetData>
  <conditionalFormatting sqref="A1">
    <cfRule type="cellIs" dxfId="6" priority="7" operator="lessThan">
      <formula>5</formula>
    </cfRule>
    <cfRule type="cellIs" dxfId="5" priority="6" operator="lessThan">
      <formula>5</formula>
    </cfRule>
    <cfRule type="cellIs" dxfId="4" priority="5" operator="lessThan">
      <formula>5</formula>
    </cfRule>
    <cfRule type="cellIs" dxfId="3" priority="4" operator="lessThan">
      <formula>5</formula>
    </cfRule>
    <cfRule type="cellIs" dxfId="2" priority="2" operator="lessThan">
      <formula>5</formula>
    </cfRule>
  </conditionalFormatting>
  <conditionalFormatting sqref="B7">
    <cfRule type="cellIs" dxfId="1" priority="3" operator="lessThan">
      <formula>5</formula>
    </cfRule>
  </conditionalFormatting>
  <conditionalFormatting pivot="1" sqref="C4:C13">
    <cfRule type="cellIs" dxfId="0" priority="1" operator="lessThan">
      <formula>5</formula>
    </cfRule>
  </conditionalFormatting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opLeftCell="A8" zoomScale="122" workbookViewId="0">
      <selection activeCell="E8" sqref="E8"/>
    </sheetView>
  </sheetViews>
  <sheetFormatPr defaultRowHeight="14.4" x14ac:dyDescent="0.3"/>
  <cols>
    <col min="1" max="1" width="35.44140625" customWidth="1"/>
    <col min="2" max="2" width="34.6640625" customWidth="1"/>
    <col min="3" max="3" width="17.33203125" customWidth="1"/>
    <col min="4" max="4" width="17.5546875" customWidth="1"/>
    <col min="5" max="6" width="17.77734375" customWidth="1"/>
  </cols>
  <sheetData>
    <row r="1" spans="1:2" ht="25.8" x14ac:dyDescent="0.5">
      <c r="A1" s="17" t="s">
        <v>91</v>
      </c>
      <c r="B1" s="18"/>
    </row>
    <row r="2" spans="1:2" ht="25.8" x14ac:dyDescent="0.5">
      <c r="A2" s="19" t="s">
        <v>92</v>
      </c>
      <c r="B2" s="20"/>
    </row>
    <row r="3" spans="1:2" x14ac:dyDescent="0.3">
      <c r="A3" s="10"/>
      <c r="B3" s="11"/>
    </row>
    <row r="4" spans="1:2" ht="21" x14ac:dyDescent="0.4">
      <c r="A4" s="12" t="s">
        <v>93</v>
      </c>
      <c r="B4" s="14">
        <f>SUM(raw_monthly_revenue!C:C)</f>
        <v>6195.7</v>
      </c>
    </row>
    <row r="5" spans="1:2" ht="21" x14ac:dyDescent="0.4">
      <c r="A5" s="12" t="s">
        <v>94</v>
      </c>
      <c r="B5" s="14">
        <f>SUM(raw_monthly_revenue!B:B)</f>
        <v>9</v>
      </c>
    </row>
    <row r="6" spans="1:2" ht="21" x14ac:dyDescent="0.4">
      <c r="A6" s="12" t="s">
        <v>95</v>
      </c>
      <c r="B6" s="15">
        <v>0.6</v>
      </c>
    </row>
    <row r="7" spans="1:2" ht="21" x14ac:dyDescent="0.4">
      <c r="A7" s="12" t="s">
        <v>96</v>
      </c>
      <c r="B7" s="14" t="s">
        <v>17</v>
      </c>
    </row>
    <row r="8" spans="1:2" ht="21" x14ac:dyDescent="0.4">
      <c r="A8" s="12" t="s">
        <v>97</v>
      </c>
      <c r="B8" s="14">
        <f>COUNTIF(raw_stockout!H:H,"STOCKOUT")</f>
        <v>1</v>
      </c>
    </row>
    <row r="9" spans="1:2" ht="21" x14ac:dyDescent="0.4">
      <c r="A9" s="13" t="s">
        <v>98</v>
      </c>
      <c r="B9" s="16">
        <f>AVERAGE(raw_clv!I:I)</f>
        <v>566.23199999999997</v>
      </c>
    </row>
    <row r="10" spans="1:2" ht="21" x14ac:dyDescent="0.4">
      <c r="A1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raw_monthly_revenue</vt:lpstr>
      <vt:lpstr> Monthly Revenue</vt:lpstr>
      <vt:lpstr> raw_country_revenue</vt:lpstr>
      <vt:lpstr> Country Revenue</vt:lpstr>
      <vt:lpstr>raw_top_customers</vt:lpstr>
      <vt:lpstr>Top Customers</vt:lpstr>
      <vt:lpstr>raw_repeat_rate</vt:lpstr>
      <vt:lpstr>raw_clv</vt:lpstr>
      <vt:lpstr>raw_inventory</vt:lpstr>
      <vt:lpstr>raw_stockout</vt:lpstr>
      <vt:lpstr>Inventory Status</vt:lpstr>
      <vt:lpstr>KPI DASHBOARD</vt:lpstr>
      <vt:lpstr>raw_monthly_revenue!_01_monthly_revenue</vt:lpstr>
      <vt:lpstr>' raw_country_revenue'!_02_revenue_by_country.cvs</vt:lpstr>
      <vt:lpstr>raw_top_customers!_03_top_customers</vt:lpstr>
      <vt:lpstr>raw_repeat_rate!_04_repeat_purchase_rate</vt:lpstr>
      <vt:lpstr>raw_clv!_05_customer_lifetime_value</vt:lpstr>
      <vt:lpstr>raw_inventory!_06_inventory_turnover</vt:lpstr>
      <vt:lpstr>raw_stockout!_07_stockout_detection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2026-03-27T09:59:11Z</dcterms:created>
  <dcterms:modified xsi:type="dcterms:W3CDTF">2026-03-27T15:09:18Z</dcterms:modified>
</cp:coreProperties>
</file>